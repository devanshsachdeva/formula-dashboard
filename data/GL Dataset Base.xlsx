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bcom-my.sharepoint.com/personal/devansh_sachdeva_reckitt_com/Documents/"/>
    </mc:Choice>
  </mc:AlternateContent>
  <xr:revisionPtr revIDLastSave="26" documentId="8_{2353D265-2A85-4CFD-AC25-5586FB7A6827}" xr6:coauthVersionLast="47" xr6:coauthVersionMax="47" xr10:uidLastSave="{FC227297-AECA-472D-AF2C-B72541269863}"/>
  <bookViews>
    <workbookView minimized="1" xWindow="2610" yWindow="2250" windowWidth="21600" windowHeight="11295" xr2:uid="{45ADE1ED-6D34-43F6-97A0-DD5D86EB518F}"/>
  </bookViews>
  <sheets>
    <sheet name="Sheet1" sheetId="1" r:id="rId1"/>
  </sheets>
  <definedNames>
    <definedName name="_xlnm._FilterDatabase" localSheetId="0" hidden="1">Sheet1!$A$1:$O$136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36" i="1" l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<sst xmlns="http://schemas.openxmlformats.org/spreadsheetml/2006/main" count="1515" uniqueCount="355">
  <si>
    <t>APC</t>
  </si>
  <si>
    <t>ICS</t>
  </si>
  <si>
    <t>CCG - PCO STHA</t>
  </si>
  <si>
    <t>GL Followed</t>
  </si>
  <si>
    <t>Comments</t>
  </si>
  <si>
    <t>HDM</t>
  </si>
  <si>
    <t>Latest Published Date</t>
  </si>
  <si>
    <t>Next Review Date</t>
  </si>
  <si>
    <t>GL URL</t>
  </si>
  <si>
    <t>EHF GL</t>
  </si>
  <si>
    <t>EHF 1st Line</t>
  </si>
  <si>
    <t>EHF 2nd Line</t>
  </si>
  <si>
    <t>AAF GL</t>
  </si>
  <si>
    <t>AAF 1st Line</t>
  </si>
  <si>
    <t>AAF 2nd Line</t>
  </si>
  <si>
    <t>BANES SWINDN &amp; WILTS ICS</t>
  </si>
  <si>
    <t>BATH &amp; N EAST SOMERSET SWINDON &amp; WILTS</t>
  </si>
  <si>
    <t>Bath and NE Somerset CCG Formulary</t>
  </si>
  <si>
    <t>Tom Mayo</t>
  </si>
  <si>
    <t>https://bswtogether.org.uk/medicines/wp-content/uploads/sites/3/2023/07/BSW-CMPA-Guidelines-V2.0-July-2023_.pdf</t>
  </si>
  <si>
    <t>Exclusive</t>
  </si>
  <si>
    <t>Althera</t>
  </si>
  <si>
    <t>Pepti</t>
  </si>
  <si>
    <t>Alfamino</t>
  </si>
  <si>
    <t>Neocate / Puramino</t>
  </si>
  <si>
    <t>BEDS LUTN &amp; MILT KNS ICS</t>
  </si>
  <si>
    <t>BEDFORDSHIRE LUTON &amp; MILTON KEYNES</t>
  </si>
  <si>
    <t>Luton and Bedfordshire Guidelines</t>
  </si>
  <si>
    <t>Chris Mines</t>
  </si>
  <si>
    <t>https://medicines.bedfordshirelutonandmiltonkeynes.icb.nhs.uk/wp-content/uploads/2020/06/BLMK-Specialist-Infant-Formula-Prescribing-Guidelines-2024.pdf</t>
  </si>
  <si>
    <t>Joint First Line</t>
  </si>
  <si>
    <t>Althera / Pepti</t>
  </si>
  <si>
    <t>Nutramigen</t>
  </si>
  <si>
    <t>Puramino</t>
  </si>
  <si>
    <t>Alfamino / Neocate</t>
  </si>
  <si>
    <t>BIRMINGHM &amp; SOLIHULL ICS</t>
  </si>
  <si>
    <t>BIRMINGHAM &amp; SOLIHULL</t>
  </si>
  <si>
    <t>Birmingham, Sandwell, Solihull and environs APC</t>
  </si>
  <si>
    <t>Lauren Eade</t>
  </si>
  <si>
    <t>https://www.birminghamandsurroundsformulary.nhs.uk/docs/files/Guidelines%20for%20Prescribing%20Specialist%20infant%20formula%20in%20Primary%20Care%20update%20April%202023.pdf</t>
  </si>
  <si>
    <t>ALL</t>
  </si>
  <si>
    <t>BLACK COUNTRY ICS</t>
  </si>
  <si>
    <t>BLACK COUNTRY &amp; WEST BIRMINGHAM</t>
  </si>
  <si>
    <t>Dudley CCG guidelines</t>
  </si>
  <si>
    <t>https://www.bing.com/ck/a?!&amp;&amp;p=075b27a66aef3305JmltdHM9MTcxMTA2NTYwMCZpZ3VpZD0zZjM4M2ZjNS1iMzkyLTY4NmItMGI4YS0yYjhmYjJiMDY5OTAmaW5zaWQ9NTIxMw&amp;ptn=3&amp;ver=2&amp;hsh=3&amp;fclid=3f383fc5-b392-686b-0b8a-2b8fb2b06990&amp;psq=dudley+cows+milk+guidelines&amp;u=a1aHR0cHM6Ly93d3cuZHVkbGV5Zm9ybXVsYXJ5Lm5ocy51ay9kb3dubG9hZC8yOTAvaW5mYW50LWZvcm11bGEtcHJlc2NyaWJpbmctZ3VpZGVsaW5l&amp;ntb=1</t>
  </si>
  <si>
    <t>BRSTL N SOMER S GLOS ICS</t>
  </si>
  <si>
    <t>BRISTOL N SOMERSET &amp; S GLOS</t>
  </si>
  <si>
    <t>Bristol CCG Guidelines</t>
  </si>
  <si>
    <t>Lorna Thyer</t>
  </si>
  <si>
    <t>https://uhbw.mystaffapp.org/diliboards/79/diliboard_contents/12058/document_view.pdf</t>
  </si>
  <si>
    <t>BUCKS OXFSH &amp; BRKS W ICS</t>
  </si>
  <si>
    <t>BERKSHIRE WEST</t>
  </si>
  <si>
    <t>Buckinghamshire, Oxfordshire and Berkshire</t>
  </si>
  <si>
    <t>Senur Bokth</t>
  </si>
  <si>
    <t>https://www.bucksoxonberksw.icb.nhs.uk/media/5028/bob-icb-cows-milk-protein-allergy-cmpa-in-infants.pdf</t>
  </si>
  <si>
    <t xml:space="preserve">Pepti </t>
  </si>
  <si>
    <t>Altehra / Nutramigen</t>
  </si>
  <si>
    <t>BUCKINGHAMSHIRE</t>
  </si>
  <si>
    <t>Altehra</t>
  </si>
  <si>
    <t>OXFORDSHIRE</t>
  </si>
  <si>
    <t>CAMBS &amp; PETERBOROUGH ICS</t>
  </si>
  <si>
    <t>CAMBS &amp; PETERBOROUGH</t>
  </si>
  <si>
    <t>Cambridge Community Services</t>
  </si>
  <si>
    <t>https://www.cambridgeshireandpeterboroughformulary.nhs.uk/chaptersSubDetails.asp?FormularySectionID=25&amp;SubSectionRef=A2.03.01&amp;SubSectionID=A100</t>
  </si>
  <si>
    <t>NaN</t>
  </si>
  <si>
    <t>CHANNEL ISLANDS</t>
  </si>
  <si>
    <t>STATES OF JERSEY</t>
  </si>
  <si>
    <t>Jersey Guidelines</t>
  </si>
  <si>
    <t>NA</t>
  </si>
  <si>
    <t>STATES OF GUERNSEY</t>
  </si>
  <si>
    <t>no Guideline</t>
  </si>
  <si>
    <t>No Guideline</t>
  </si>
  <si>
    <t>CHESHIRE &amp; MERSEYSDE ICS</t>
  </si>
  <si>
    <t>CHESHIRE</t>
  </si>
  <si>
    <t>CHESHIRE CCG</t>
  </si>
  <si>
    <t>Julie Botham</t>
  </si>
  <si>
    <t>Diagnosis and Management of Cows Milk Protein Allergy - Feb 2024.pdf</t>
  </si>
  <si>
    <t>HALTON</t>
  </si>
  <si>
    <t>Pan Mersey Guideline</t>
  </si>
  <si>
    <t>KNOWSLEY</t>
  </si>
  <si>
    <t>LIVERPOOL</t>
  </si>
  <si>
    <t>SOUTH SEFTON</t>
  </si>
  <si>
    <t>SOUTHPORT &amp; FORMBY</t>
  </si>
  <si>
    <t>ST HELENS</t>
  </si>
  <si>
    <t>WARRINGTON</t>
  </si>
  <si>
    <t>WIRRAL</t>
  </si>
  <si>
    <t>COVENTRY &amp; WARWICKSH ICS</t>
  </si>
  <si>
    <t>COVENTRY &amp; WARWICKSHIRE</t>
  </si>
  <si>
    <t>Coventry &amp; Warwickshire APC</t>
  </si>
  <si>
    <t>https://www.covwarkformulary.nhs.uk/docs/chapter25_A2/CG016a-Prescribing%20of%20Specialist%20Infant%20Formula%20in%20Primary%20Care.pdf?UNLID=14845232120253623578</t>
  </si>
  <si>
    <t>CRNWLL &amp; IS OF SCILL ICS</t>
  </si>
  <si>
    <t>KERNOW</t>
  </si>
  <si>
    <t>Kernow CCG Formulary</t>
  </si>
  <si>
    <t xml:space="preserve">355_KCCG_Specialist Infant Formula Prescribing 2018.pdf (eclipsesolutions.org)  </t>
  </si>
  <si>
    <t>DERBY &amp; DERBYSHIRE ICS</t>
  </si>
  <si>
    <t>DERBY &amp; DERBYSHIRE</t>
  </si>
  <si>
    <t>Derbyshire Joint Area Prescribing Committee</t>
  </si>
  <si>
    <t>https://www.derbyshiremedicinesmanagement.nhs.uk/assets/Clinical_Guidelines/Formulary_by_BNF_chapter_prescribing_guidelines/BNF_chapter_9/Derbyshire_CMA_guideline_Oct_24.pdf</t>
  </si>
  <si>
    <t>Nutramigen / Althera</t>
  </si>
  <si>
    <t>DEVON ICS</t>
  </si>
  <si>
    <t>DEVON</t>
  </si>
  <si>
    <t>North and East Devon Guideline</t>
  </si>
  <si>
    <t>Specialist infant formulas in primary care - North &amp; East</t>
  </si>
  <si>
    <t>DORSET ICS</t>
  </si>
  <si>
    <t>DORSET</t>
  </si>
  <si>
    <t>Wessex Guideline</t>
  </si>
  <si>
    <t>Hampshire Infant Feeding Guidelines and Appropriate prescribing of specialist infant formulae 2016</t>
  </si>
  <si>
    <t>FRIMLEY HLTH &amp; CARE ICS</t>
  </si>
  <si>
    <t>FRIMLEY</t>
  </si>
  <si>
    <t>Frimley Guideline</t>
  </si>
  <si>
    <t>Nehal Krayenbrink</t>
  </si>
  <si>
    <t>https://frimley-healthiertogether.nhs.uk/application/files/4016/7584/6432/NHS_CMPA_Pathway_Feb_2023.FINAL.pdf</t>
  </si>
  <si>
    <t>GLOUCESTERSHIRE ICS</t>
  </si>
  <si>
    <t>GLOUCESTERSHIRE</t>
  </si>
  <si>
    <t>GLOUCESTERSHIRE Sub-ICB</t>
  </si>
  <si>
    <t>Cow's milk protein allergy (CMPA) (C&amp;YP) | Pathway | Clinical Topics | G-care</t>
  </si>
  <si>
    <t>Nutramigen / Pepti</t>
  </si>
  <si>
    <t>Neocate Syneo</t>
  </si>
  <si>
    <t>Puramino / Alfamino</t>
  </si>
  <si>
    <t>GREATER MANCHESTER ICS</t>
  </si>
  <si>
    <t>BOLTON</t>
  </si>
  <si>
    <t>Greater Manchester Medicines Management</t>
  </si>
  <si>
    <t>BURY</t>
  </si>
  <si>
    <t>HEYWOOD MIDDLETON &amp; ROCHDALE</t>
  </si>
  <si>
    <t>MANCHESTER</t>
  </si>
  <si>
    <t>OLDHAM</t>
  </si>
  <si>
    <t>SALFORD</t>
  </si>
  <si>
    <t>STOCKPORT</t>
  </si>
  <si>
    <t>TAMESIDE</t>
  </si>
  <si>
    <t>TRAFFORD</t>
  </si>
  <si>
    <t>WIGAN BOROUGH</t>
  </si>
  <si>
    <t>HAMPSHIRE &amp; IOW ICS</t>
  </si>
  <si>
    <t>HAMPSHIRE SOUTHAMPTON &amp; ISLE OF WIGHT</t>
  </si>
  <si>
    <t>HANTS SOTON &amp; IOW CCG</t>
  </si>
  <si>
    <t>PORTSMOUTH</t>
  </si>
  <si>
    <t>HEREFORDSHRE &amp; WORCS ICS</t>
  </si>
  <si>
    <t>HEREFORDSHIRE &amp; WORCS</t>
  </si>
  <si>
    <t>Herefordshire CCG Guideline</t>
  </si>
  <si>
    <t>https://www.hereworcsformulary.nhs.uk/chaptersSubDetails.asp?FormularySectionID=9&amp;SubSectionRef=09.04.01&amp;SubSectionID=A100</t>
  </si>
  <si>
    <t>Pepti/ Althera</t>
  </si>
  <si>
    <t>HERTFORDSH &amp; W ESSEX ICS</t>
  </si>
  <si>
    <t>EAST &amp; NORTH HERTS</t>
  </si>
  <si>
    <t>Herts &amp; West Essex</t>
  </si>
  <si>
    <t>https://www.hweclinicalguidance.nhs.uk/all-clinical-areas-documents/download?cid=2143&amp;checksum=9f44e956e3a2b7b5598c625fcc802c36</t>
  </si>
  <si>
    <t>Neocate</t>
  </si>
  <si>
    <t>HERTS VALLEYS</t>
  </si>
  <si>
    <t>WEST ESSEX</t>
  </si>
  <si>
    <t>HUMBER &amp; N YORKSHIRE ICS</t>
  </si>
  <si>
    <t>EAST RIDING OF YORKS</t>
  </si>
  <si>
    <t>Hull and East Riding APC</t>
  </si>
  <si>
    <t>Mahboob Ahmed</t>
  </si>
  <si>
    <t>HAPC Specialist infant formulae final Oct 2023.pdf</t>
  </si>
  <si>
    <t>VALE OF YORK</t>
  </si>
  <si>
    <t>Vale of Yorkshire Guidelines</t>
  </si>
  <si>
    <t>HULL</t>
  </si>
  <si>
    <t>NORTH EAST LINCOLNSHIRE</t>
  </si>
  <si>
    <t>Lincolnshire Joint Formulary</t>
  </si>
  <si>
    <t>NORTH LINCOLNSHIRE</t>
  </si>
  <si>
    <t>Northern Lincolnshire APC Guideline</t>
  </si>
  <si>
    <t>NORTH YORKSHIRE</t>
  </si>
  <si>
    <t>North Yorkshire GL</t>
  </si>
  <si>
    <t>ISLE OF MAN</t>
  </si>
  <si>
    <t>ISLE OF MAN DHSS</t>
  </si>
  <si>
    <t>KENT &amp; MEDWAY ICS</t>
  </si>
  <si>
    <t>KENT &amp; MEDWAY</t>
  </si>
  <si>
    <t>KENT &amp; MEDWAY CCG</t>
  </si>
  <si>
    <t>https://www.eastkentformulary.nhs.uk/media/1651/km-guide-specialist-infant-formula-v8-3.pdf</t>
  </si>
  <si>
    <t>LANCS &amp; S CUMBRIA ICS</t>
  </si>
  <si>
    <t>BLACKPOOL</t>
  </si>
  <si>
    <t>Lancs &amp; S Cumbria ICS</t>
  </si>
  <si>
    <t>Infant Feeding - Maternity Resource Hub</t>
  </si>
  <si>
    <t>FYLDE &amp; WYRE</t>
  </si>
  <si>
    <t>BLACKBURN WITH DARWEN</t>
  </si>
  <si>
    <t>CHORLEY &amp; SOUTH RIBBLE</t>
  </si>
  <si>
    <t>EAST LANCASHIRE</t>
  </si>
  <si>
    <t>GREATER PRESTON</t>
  </si>
  <si>
    <t>MORECAMBE BAY</t>
  </si>
  <si>
    <t>WEST LANCASHIRE</t>
  </si>
  <si>
    <t>LEICS LEICSTSH &amp; RUT ICS</t>
  </si>
  <si>
    <t>EAST LEICS &amp; RUTLAND</t>
  </si>
  <si>
    <t xml:space="preserve">Leicester Meds Management </t>
  </si>
  <si>
    <t>Infant-formula-Prescibing-guidelines-May-23.pdf</t>
  </si>
  <si>
    <t>LEICESTER CITY</t>
  </si>
  <si>
    <t>WEST LEICESTERSHIRE</t>
  </si>
  <si>
    <t>LINCOLNSHIRE ICS</t>
  </si>
  <si>
    <t>LINCOLNSHIRE</t>
  </si>
  <si>
    <t>https://lincolnshire-pacef.nhs.uk/application/files/6917/1380/2515/Lincolnshire_ICB_Specialist_Infant_Formula_Guidelines_for_CMPA_-_Summary.pdf?UNLID=920461258202522691542</t>
  </si>
  <si>
    <t>MID &amp; SOUTH ESSEX ICS</t>
  </si>
  <si>
    <t>BASILDON &amp; BRENTWOOD</t>
  </si>
  <si>
    <t>Mid and South Essex</t>
  </si>
  <si>
    <t>CASTLE POINT &amp; ROCHFORD</t>
  </si>
  <si>
    <t>MID ESSEX</t>
  </si>
  <si>
    <t>SOUTHEND</t>
  </si>
  <si>
    <t>THURROCK</t>
  </si>
  <si>
    <t>N EAST &amp; N CUMBRIA ICS</t>
  </si>
  <si>
    <t>COUNTY DURHAM</t>
  </si>
  <si>
    <t>NENC Guidelines</t>
  </si>
  <si>
    <t>Moved to NTAG - NENC Guidelines</t>
  </si>
  <si>
    <t>https://ntag.nhs.uk/wp-content/uploads/2025/02/NENC-Cows-Milk-Protein-Allergy-guidelines-approved-v1-Feb-2025.pdf</t>
  </si>
  <si>
    <t>NEWCASTLE GATESHEAD</t>
  </si>
  <si>
    <t>NORTH CUMBRIA</t>
  </si>
  <si>
    <t>NORTH TYNESIDE</t>
  </si>
  <si>
    <t>NORTHUMBERLAND</t>
  </si>
  <si>
    <t>SOUTH TYNESIDE</t>
  </si>
  <si>
    <t>SUNDERLAND</t>
  </si>
  <si>
    <t>TEES VALLEY</t>
  </si>
  <si>
    <t>NHS AYRSHIRE &amp; ARRAN</t>
  </si>
  <si>
    <t>Carol Wilson</t>
  </si>
  <si>
    <t>NHS BORDERS</t>
  </si>
  <si>
    <t>NHS DUMFRIES &amp; GALLOWAY</t>
  </si>
  <si>
    <t>Dumfries &amp; Galloway Guideline</t>
  </si>
  <si>
    <t>https://www.rightdecisions.scot.nhs.uk/dgrefhelp-nhs-dumfries-galloway/womens-health/infant-feeding-guidelines/cows-milk-protein-allergy/</t>
  </si>
  <si>
    <t>NHS FIFE</t>
  </si>
  <si>
    <t>Fife HB Guidelines</t>
  </si>
  <si>
    <t>NHS FORTH VALLEY</t>
  </si>
  <si>
    <t>Forth Valley Guidelines</t>
  </si>
  <si>
    <t>Forth Valley Guidelines.pdf</t>
  </si>
  <si>
    <t>Find Link</t>
  </si>
  <si>
    <t>NHS GRAMPIAN</t>
  </si>
  <si>
    <t>NHS Grampian HB Guidline</t>
  </si>
  <si>
    <t>NHS Grampian Guidelines.pdf</t>
  </si>
  <si>
    <t>https://www.grampianformulary.scot.nhs.uk/chaptersSubDetails.asp?FormularySectionID=25&amp;SubSectionRef=A2.03&amp;SubSectionID=A100#:~:text=Treatment%20involves%20complete%20exclusion%20of,a%20minimum%20of%202%20weeks).</t>
  </si>
  <si>
    <t>NHS GTR GLASGOW &amp; CLYDE</t>
  </si>
  <si>
    <t>Glasgow Guidelines</t>
  </si>
  <si>
    <t>GGC formulary.pdf</t>
  </si>
  <si>
    <t>NHS HIGHLAND</t>
  </si>
  <si>
    <t>Highland Guidelines</t>
  </si>
  <si>
    <t>NHS Highlands Alternative milks formulary.docx</t>
  </si>
  <si>
    <t>NHS LANARKSHIRE</t>
  </si>
  <si>
    <t>Lanarkshire Guidelines</t>
  </si>
  <si>
    <t>https://rbcom-my.sharepoint.com/:b:/r/personal/devansh_sachdeva_reckitt_com/Documents/Guidlines/Carols/Cows%20Milk%20Allergy%20Pathway%202021%20Lanarkshire.pdf?csf=1&amp;web=1&amp;e=JmdCxH</t>
  </si>
  <si>
    <t>NHS LOTHIAN</t>
  </si>
  <si>
    <t>Lothian Guidelines</t>
  </si>
  <si>
    <t>Lothian Appendix-3-Prescribing-allergy-formula.pdf</t>
  </si>
  <si>
    <t>NHS ORKNEY</t>
  </si>
  <si>
    <t>NHS SHETLAND</t>
  </si>
  <si>
    <t>NHS TAYSIDE</t>
  </si>
  <si>
    <t>Tayside Guidelines</t>
  </si>
  <si>
    <t>Tayside Specialist Baby Milk Formulary.pdf</t>
  </si>
  <si>
    <t>NHS WESTERN ISLES</t>
  </si>
  <si>
    <t>NORFOLK &amp; WAVENEY ICS</t>
  </si>
  <si>
    <t>NORFOLK &amp; WAVENEY</t>
  </si>
  <si>
    <t>NORFOLK &amp; WAVENEY CCG</t>
  </si>
  <si>
    <t>https://nwknowledgenow.nhs.uk/wp-content/uploads/2024/03/Guide-1-CMPA_PPMO_Infants.pdf</t>
  </si>
  <si>
    <t>NORTH CENTRAL LONDON ICS</t>
  </si>
  <si>
    <t>NORTH CENTRAL LONDON</t>
  </si>
  <si>
    <t>NORTH CENTRAL LONDON CCG</t>
  </si>
  <si>
    <t>North Central London Formulary</t>
  </si>
  <si>
    <t>NORTH EAST LONDON ICS</t>
  </si>
  <si>
    <t>NORTH EAST LONDON</t>
  </si>
  <si>
    <t>North East London CCG</t>
  </si>
  <si>
    <t>https://primarycare.northeastlondon.icb.nhs.uk/wp-content/uploads/2023/08/CMPA_guideline-1.pdf</t>
  </si>
  <si>
    <t>Pepti / Althera</t>
  </si>
  <si>
    <t>NORTH WEST LONDON ICS</t>
  </si>
  <si>
    <t>NORTH WEST LONDON</t>
  </si>
  <si>
    <t>North West London CCG</t>
  </si>
  <si>
    <t>NORTHAMPTONSHIRE ICS</t>
  </si>
  <si>
    <t>NORTHAMPTONSHIRE</t>
  </si>
  <si>
    <t>NORTHAMPTONSHIRE CCG</t>
  </si>
  <si>
    <t>Guidelines for Clinical Management of Infant Feeding Difficulties</t>
  </si>
  <si>
    <t>NORTHERN IRELAND HSCB</t>
  </si>
  <si>
    <t>BELFAST AIPB</t>
  </si>
  <si>
    <t>Northern Ireland</t>
  </si>
  <si>
    <t>Paula Hobson</t>
  </si>
  <si>
    <t>NORTHERN AIPB</t>
  </si>
  <si>
    <t>SOUTH EASTERN AIPB</t>
  </si>
  <si>
    <t>SOUTHERN AIPB</t>
  </si>
  <si>
    <t>WESTERN AIPB</t>
  </si>
  <si>
    <t>NOTTNGM &amp; NOTTSHIRE ICS</t>
  </si>
  <si>
    <t>BASSETLAW</t>
  </si>
  <si>
    <t>Nottingham APC Guidelines</t>
  </si>
  <si>
    <t>https://rbcom.sharepoint.com/sites/gbspodc/he/UKMJN/Forms/AllItems.aspx?id=%2Fsites%2Fgbspodc%2Fhe%2FUKMJN%2FSales%2FCCG%20Guideline%20Tracker%2FPDF%20Guidelines%2FNotts%20APC%202022%20cows%2Dmilk%2Dallergy%2Doverarching%2Dguide%2Epdf&amp;parent=%2Fsites%2Fgbspodc%2Fhe%2FUKMJN%2FSales%2FCCG%20Guideline%20Tracker%2FPDF%20Guidelines</t>
  </si>
  <si>
    <t>Pepti/Althera</t>
  </si>
  <si>
    <t>Alfamino/Neocate</t>
  </si>
  <si>
    <t>NOTTINGHAM &amp; NOTTINGHAMSHIRE</t>
  </si>
  <si>
    <t>SHROPSH TELFD &amp; WREK ICS</t>
  </si>
  <si>
    <t>SHROPSHIRE TELFORD &amp; WREKIN</t>
  </si>
  <si>
    <t>Shropshire CCG Guidelines</t>
  </si>
  <si>
    <t>cmpa-quick-guide.pdf</t>
  </si>
  <si>
    <t>SOMERSET ICS</t>
  </si>
  <si>
    <t>SOMERSET</t>
  </si>
  <si>
    <t>Somerset CCG Guidelines</t>
  </si>
  <si>
    <t>https://nhssomerset.nhs.uk/wp-content/uploads/sites/2/Breastfed-Suspected-cows-milk-protein-allergy-guidelines-V7-May-22-FINAL.pdf</t>
  </si>
  <si>
    <t>SOUTH EAST LONDON ICS</t>
  </si>
  <si>
    <t>SOUTH EAST LONDON</t>
  </si>
  <si>
    <t>South East London APC</t>
  </si>
  <si>
    <t>https://www.selondonics.org/wp-content/uploads/dlm_uploads/Guide-1-Hypoallergenic-formulas-and-volume-guide-2024-A3-Jan-25-update.pdf</t>
  </si>
  <si>
    <t>SOUTH WEST LONDON ICS</t>
  </si>
  <si>
    <t>SOUTH WEST LONDON</t>
  </si>
  <si>
    <t>SOUTH WEST LONDON CCG</t>
  </si>
  <si>
    <t>https://swlimo.southwestlondon.icb.nhs.uk/clinical-guidance/nutrition-and-blood/nutrition/speci/cows-milk-protein-allergy/</t>
  </si>
  <si>
    <t>SOUTH YORKSHIRE ICS</t>
  </si>
  <si>
    <t>BARNSLEY</t>
  </si>
  <si>
    <t>NHS Barnsley CCG (The Barnsley APC)</t>
  </si>
  <si>
    <t>https://best.barnsleyccg.nhs.uk/media/fkifjdst/infant_formula_guidelines.pdf</t>
  </si>
  <si>
    <t>DONCASTER</t>
  </si>
  <si>
    <t>ROTHERHAM</t>
  </si>
  <si>
    <t>SHEFFIELD</t>
  </si>
  <si>
    <t>Alfamino / Puramino</t>
  </si>
  <si>
    <t>STAFFSH &amp; STOKE-TRNT ICS</t>
  </si>
  <si>
    <t>CANNOCK CHASE</t>
  </si>
  <si>
    <t>South Staffordshire Joint Formulary</t>
  </si>
  <si>
    <t>https://www.staffordshireandstokeontrentformulary.nhs.uk/docs/files/Appropriate%20Prescribing%20of%20Specialist%20Infant%20Formulae%20in%20Staffordshire%20Guidelines%20v.4%20April%202023.pdf?uid=500191827&amp;uid2=20254113198283</t>
  </si>
  <si>
    <t>EAST STAFFORDSHIRE</t>
  </si>
  <si>
    <t>Staffordshire Joint Formulary</t>
  </si>
  <si>
    <t>NORTH STAFFORDSHIRE</t>
  </si>
  <si>
    <t>http://cpstaffsstoke.org.uk/wp-content/uploads/sites/96/2015/02/Formulary_Introduction1.pdf</t>
  </si>
  <si>
    <t>SOUTH EAST STAFFS &amp; SEISDON PENINSULA</t>
  </si>
  <si>
    <t>https://www.staffordshireandstokeontrentformulary.nhs.uk/docs/files/Appropriate%20Prescribing%20of%20Specialist%20Infant%20Formulae%20in%20Staffordshire%20Guidelines%20v.4%20April%202023.pdf?uid=500191705&amp;uid2=20254112636283</t>
  </si>
  <si>
    <t>STAFFORD &amp; SURROUNDS</t>
  </si>
  <si>
    <t>STOKE-ON-TRENT</t>
  </si>
  <si>
    <t>SUFFOLK &amp; NE ESSEX ICS</t>
  </si>
  <si>
    <t>IPSWICH &amp; EAST SUFFOLK</t>
  </si>
  <si>
    <t>SNEE</t>
  </si>
  <si>
    <t>SNEE 2 - North East Essex Guideline.jpg (691×945)</t>
  </si>
  <si>
    <t>NORTH EAST ESSEX</t>
  </si>
  <si>
    <t>WEST SUFFOLK</t>
  </si>
  <si>
    <t>SNEE 2 - West Suffolk Guideline.jpg (1110×768)</t>
  </si>
  <si>
    <t>SURREY HEARTLANDS ICS</t>
  </si>
  <si>
    <t>SURREY HEARTLANDS</t>
  </si>
  <si>
    <t>Surrey &amp; Sussex CCG Guidelines</t>
  </si>
  <si>
    <t>https://surreyccg.res-systems.net/PAD//Content/Documents/2/Guidelines%20for%20the%20Management%20of%20Cow%27s%20milk%20protein%20allergy%20V2.5.pdf</t>
  </si>
  <si>
    <t>SUSSEX ICS</t>
  </si>
  <si>
    <t>BRIGHTON &amp; HOVE</t>
  </si>
  <si>
    <t>Sussex ICB</t>
  </si>
  <si>
    <t>https://int.sussex.ics.nhs.uk/clinical_documents/infant-feeding-guidance-for-prescribing-specialist-infant-formula-for-cows-milk-allergy/</t>
  </si>
  <si>
    <t>EAST SUSSEX</t>
  </si>
  <si>
    <t>WEST SUSSEX</t>
  </si>
  <si>
    <t>WELSH ASSEMBLY</t>
  </si>
  <si>
    <t>ANEURIN BEVAN UNIV HB</t>
  </si>
  <si>
    <t xml:space="preserve">Aneurin Bevan University HB Guideline </t>
  </si>
  <si>
    <t>HYWEL DDA UNIVERSITY HB</t>
  </si>
  <si>
    <t>Hywel Dda</t>
  </si>
  <si>
    <t>Microsoft Word - Formulary - CMPA Nov 24</t>
  </si>
  <si>
    <t>POWYS TEACHING HB</t>
  </si>
  <si>
    <t>SWANSEA BAY UNIV HB</t>
  </si>
  <si>
    <t>Abertawe Bro Morgannwg HB Guidelines</t>
  </si>
  <si>
    <t>https://sbuhb.nhs.wales/files/freedom-of-information-disclosure-log-2020/july/20-g-016-attached-guidelines/</t>
  </si>
  <si>
    <t>BETSI CADWALADR UNI HB</t>
  </si>
  <si>
    <t>Betsi Cadwaladr University Health Board - Hospital only</t>
  </si>
  <si>
    <t>CARDIFF &amp; VALE UNIV HB</t>
  </si>
  <si>
    <t>Cardiff and Vale University HB Guidelines</t>
  </si>
  <si>
    <t>The Hypoallergenic Formulas for the Diagnosis and Management of CMA</t>
  </si>
  <si>
    <t xml:space="preserve">Nutramigen </t>
  </si>
  <si>
    <t>CWM TAF MORG UNIV HB</t>
  </si>
  <si>
    <t>Cwm Taf University Health Board - Formulary Guidelines Primary and Secondary Care not in public domain</t>
  </si>
  <si>
    <t>WEST YORKSHIRE ICS</t>
  </si>
  <si>
    <t>BRADFORD DISTRICT &amp; CRAVEN</t>
  </si>
  <si>
    <t>South West Yorkshire APC</t>
  </si>
  <si>
    <t>FINAL-Prescribing-Specialist-Infant-Formula-in-Primary-Care-approved-WY-ICS-APC-Jan-2024-v1.0.docx.pdf</t>
  </si>
  <si>
    <t>CALDERDALE</t>
  </si>
  <si>
    <t>KIRKLEES</t>
  </si>
  <si>
    <t>WAKEFIELD</t>
  </si>
  <si>
    <t>LEEDS</t>
  </si>
  <si>
    <t>Leeds CCG Formulary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</si>
</sst>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../CCG%20Guideline%20Tracker/PDF%20Guidelines/Suffolk%20&amp;%20NE%20Essex%20ICB/SNEE%202%20-%20North%20East%20Essex%20Guideline.jpg?csf=1&amp;web=1&amp;e=cvj6U2&amp;CID=63f898f3-8a21-4d03-87b6-4368c686a551" TargetMode="External"/><Relationship Id="rId18" Type="http://schemas.openxmlformats.org/officeDocument/2006/relationships/hyperlink" Target="https://formularydocs.wales.nhs.uk/Hywelddahb/Formulary%20-%20CMPA%20Nov%2024%20(1)_5906.pdf" TargetMode="External"/><Relationship Id="rId26" Type="http://schemas.openxmlformats.org/officeDocument/2006/relationships/hyperlink" Target="https://www.wyicsapc.co.uk/wp-content/uploads/2024/02/FINAL-Prescribing-Specialist-Infant-Formula-in-Primary-Care-approved-WY-ICS-APC-Jan-2024-v1.0.docx.pdf" TargetMode="External"/><Relationship Id="rId39" Type="http://schemas.openxmlformats.org/officeDocument/2006/relationships/hyperlink" Target="https://int.sussex.ics.nhs.uk/clinical_documents/infant-feeding-guidance-for-prescribing-specialist-infant-formula-for-cows-milk-allergy/" TargetMode="External"/><Relationship Id="rId21" Type="http://schemas.openxmlformats.org/officeDocument/2006/relationships/hyperlink" Target="https://gp-portal.westhampshireccg.nhs.uk/wp-content/uploads/2020/01/2018_Wessex_IF_guidelines-Final.pdf" TargetMode="External"/><Relationship Id="rId34" Type="http://schemas.openxmlformats.org/officeDocument/2006/relationships/hyperlink" Target="https://www.cheshireformulary.nhs.uk/docs/files/Diagnosis%20and%20Management%20of%20Cows%20Milk%20Protein%20Allergy%20-%20Feb%202024.pdf" TargetMode="External"/><Relationship Id="rId42" Type="http://schemas.openxmlformats.org/officeDocument/2006/relationships/hyperlink" Target="https://rbcom.sharepoint.com/sites/gbspodc/he/UKMJN/Forms/AllItems.aspx?id=%2Fsites%2Fgbspodc%2Fhe%2FUKMJN%2FSales%2FCCG%20Guideline%20Tracker%2FPDF%20Guidelines%2FNotts%20APC%202022%20cows%2Dmilk%2Dallergy%2Doverarching%2Dguide%2Epdf&amp;parent=%2Fsites%2Fgbspodc%2Fhe%2FUKMJN%2FSales%2FCCG%20Guideline%20Tracker%2FPDF%20Guidelines" TargetMode="External"/><Relationship Id="rId7" Type="http://schemas.openxmlformats.org/officeDocument/2006/relationships/hyperlink" Target="https://northeast.devonformularyguidance.nhs.uk/formulary/chapters/9-blood-and-nutrition/specialist-infant-formulas-in-primary-care" TargetMode="External"/><Relationship Id="rId2" Type="http://schemas.openxmlformats.org/officeDocument/2006/relationships/hyperlink" Target="../../../../:b:/r/personal/devansh_sachdeva_reckitt_com/Documents/Guidlines/Carols/Cows%20Milk%20Allergy%20Pathway%202021%20Lanarkshire.pdf?csf=1&amp;web=1&amp;e=JmdCxH" TargetMode="External"/><Relationship Id="rId16" Type="http://schemas.openxmlformats.org/officeDocument/2006/relationships/hyperlink" Target="https://www.shropshiretelfordandwrekinccg.nhs.uk/wp-content/uploads/cmpa-quick-guide.pdf" TargetMode="External"/><Relationship Id="rId29" Type="http://schemas.openxmlformats.org/officeDocument/2006/relationships/hyperlink" Target="https://www.wyicsapc.co.uk/wp-content/uploads/2024/02/FINAL-Prescribing-Specialist-Infant-Formula-in-Primary-Care-approved-WY-ICS-APC-Jan-2024-v1.0.docx.pdf" TargetMode="External"/><Relationship Id="rId1" Type="http://schemas.openxmlformats.org/officeDocument/2006/relationships/hyperlink" Target="https://int.sussex.ics.nhs.uk/clinical_documents/infant-feeding-guidance-for-prescribing-specialist-infant-formula-for-cows-milk-allergy/" TargetMode="External"/><Relationship Id="rId6" Type="http://schemas.openxmlformats.org/officeDocument/2006/relationships/hyperlink" Target="https://www.staffordshireandstokeontrentformulary.nhs.uk/docs/files/Appropriate%20Prescribing%20of%20Specialist%20Infant%20Formulae%20in%20Staffordshire%20Guidelines%20v.4%20April%202023.pdf?uid=500191705&amp;uid2=20254112636283" TargetMode="External"/><Relationship Id="rId11" Type="http://schemas.openxmlformats.org/officeDocument/2006/relationships/hyperlink" Target="https://www.areaprescribingcommitteeleicesterleicestershirerutland.nhs.uk/wp-content/uploads/2017/11/Infant-formula-Prescibing-guidelines-May-23.pdf" TargetMode="External"/><Relationship Id="rId24" Type="http://schemas.openxmlformats.org/officeDocument/2006/relationships/hyperlink" Target="https://www.ncl-jointformulary.nhs.uk/chaptersSubDetails.asp?FormularySectionID=25&amp;SubSectionRef=A2.03.01&amp;SubSectionID=A100&amp;drugmatch=4466" TargetMode="External"/><Relationship Id="rId32" Type="http://schemas.openxmlformats.org/officeDocument/2006/relationships/hyperlink" Target="https://maternityresourcehub.com/our-priorities/prevention/infant-feeding/?UNLID=4976692622025619134128" TargetMode="External"/><Relationship Id="rId37" Type="http://schemas.openxmlformats.org/officeDocument/2006/relationships/hyperlink" Target="https://www.selondonics.org/wp-content/uploads/dlm_uploads/Guide-1-Hypoallergenic-formulas-and-volume-guide-2024-A3-Jan-25-update.pdf" TargetMode="External"/><Relationship Id="rId40" Type="http://schemas.openxmlformats.org/officeDocument/2006/relationships/hyperlink" Target="https://www.grampianformulary.scot.nhs.uk/chaptersSubDetails.asp?FormularySectionID=25&amp;SubSectionRef=A2.03&amp;SubSectionID=A100" TargetMode="External"/><Relationship Id="rId45" Type="http://schemas.openxmlformats.org/officeDocument/2006/relationships/hyperlink" Target="https://www.bucksoxonberksw.icb.nhs.uk/media/5028/bob-icb-cows-milk-protein-allergy-cmpa-in-infants.pdf" TargetMode="External"/><Relationship Id="rId5" Type="http://schemas.openxmlformats.org/officeDocument/2006/relationships/hyperlink" Target="https://primarycare.northeastlondon.icb.nhs.uk/wp-content/uploads/2023/08/CMPA_guideline-1.pdf" TargetMode="External"/><Relationship Id="rId15" Type="http://schemas.openxmlformats.org/officeDocument/2006/relationships/hyperlink" Target="https://www.wyicsapc.co.uk/wp-content/uploads/2024/02/FINAL-Prescribing-Specialist-Infant-Formula-in-Primary-Care-approved-WY-ICS-APC-Jan-2024-v1.0.docx.pdf" TargetMode="External"/><Relationship Id="rId23" Type="http://schemas.openxmlformats.org/officeDocument/2006/relationships/hyperlink" Target="../../../../../../../../:b:/r/sites/gbspodc/he/UKMJN/Sales/CCG%20Guideline%20Tracker/PDF%20Guidelines/HAPC%20Specialist%20infant%20formulae%20final%20Oct%202023.pdf?csf=1&amp;web=1&amp;e=sk2eOi" TargetMode="External"/><Relationship Id="rId28" Type="http://schemas.openxmlformats.org/officeDocument/2006/relationships/hyperlink" Target="https://www.wyicsapc.co.uk/wp-content/uploads/2024/02/FINAL-Prescribing-Specialist-Infant-Formula-in-Primary-Care-approved-WY-ICS-APC-Jan-2024-v1.0.docx.pdf" TargetMode="External"/><Relationship Id="rId36" Type="http://schemas.openxmlformats.org/officeDocument/2006/relationships/hyperlink" Target="https://www.cambridgeshireandpeterboroughformulary.nhs.uk/chaptersSubDetails.asp?FormularySectionID=25&amp;SubSectionRef=A2.03.01&amp;SubSectionID=A100" TargetMode="External"/><Relationship Id="rId10" Type="http://schemas.openxmlformats.org/officeDocument/2006/relationships/hyperlink" Target="https://www.areaprescribingcommitteeleicesterleicestershirerutland.nhs.uk/wp-content/uploads/2017/11/Infant-formula-Prescibing-guidelines-May-23.pdf" TargetMode="External"/><Relationship Id="rId19" Type="http://schemas.openxmlformats.org/officeDocument/2006/relationships/hyperlink" Target="https://gp-portal.westhampshireccg.nhs.uk/wp-content/uploads/2020/01/2018_Wessex_IF_guidelines-Final.pdf" TargetMode="External"/><Relationship Id="rId31" Type="http://schemas.openxmlformats.org/officeDocument/2006/relationships/hyperlink" Target="https://maternityresourcehub.com/our-priorities/prevention/infant-feeding/?UNLID=4976692622025619134128" TargetMode="External"/><Relationship Id="rId44" Type="http://schemas.openxmlformats.org/officeDocument/2006/relationships/hyperlink" Target="https://www.rightdecisions.scot.nhs.uk/dgrefhelp-nhs-dumfries-galloway/womens-health/infant-feeding-guidelines/cows-milk-protein-allergy/" TargetMode="External"/><Relationship Id="rId4" Type="http://schemas.openxmlformats.org/officeDocument/2006/relationships/hyperlink" Target="https://www.bucksoxonberksw.icb.nhs.uk/media/5028/bob-icb-cows-milk-protein-allergy-cmpa-in-infants.pdf" TargetMode="External"/><Relationship Id="rId9" Type="http://schemas.openxmlformats.org/officeDocument/2006/relationships/hyperlink" Target="https://www.areaprescribingcommitteeleicesterleicestershirerutland.nhs.uk/wp-content/uploads/2017/11/Infant-formula-Prescibing-guidelines-May-23.pdf" TargetMode="External"/><Relationship Id="rId14" Type="http://schemas.openxmlformats.org/officeDocument/2006/relationships/hyperlink" Target="../../../CCG%20Guideline%20Tracker/PDF%20Guidelines/Suffolk%20&amp;%20NE%20Essex%20ICB/SNEE%202%20-%20West%20Suffolk%20Guideline.jpg?csf=1&amp;web=1&amp;e=AiNgRu&amp;CID=ce928019-1544-4474-af0a-487903993c9a" TargetMode="External"/><Relationship Id="rId22" Type="http://schemas.openxmlformats.org/officeDocument/2006/relationships/hyperlink" Target="../../../../../../../../:b:/r/sites/gbspodc/he/UKMJN/Sales/CCG%20Guideline%20Tracker/PDF%20Guidelines/HAPC%20Specialist%20infant%20formulae%20final%20Oct%202023.pdf?csf=1&amp;web=1&amp;e=sk2eOi" TargetMode="External"/><Relationship Id="rId27" Type="http://schemas.openxmlformats.org/officeDocument/2006/relationships/hyperlink" Target="https://www.wyicsapc.co.uk/wp-content/uploads/2024/02/FINAL-Prescribing-Specialist-Infant-Formula-in-Primary-Care-approved-WY-ICS-APC-Jan-2024-v1.0.docx.pdf" TargetMode="External"/><Relationship Id="rId30" Type="http://schemas.openxmlformats.org/officeDocument/2006/relationships/hyperlink" Target="https://www.birminghamandsurroundsformulary.nhs.uk/docs/files/Guidelines%20for%20Prescribing%20Specialist%20infant%20formula%20in%20Primary%20Care%20update%20April%202023.pdf" TargetMode="External"/><Relationship Id="rId35" Type="http://schemas.openxmlformats.org/officeDocument/2006/relationships/hyperlink" Target="https://nwknowledgenow.nhs.uk/wp-content/uploads/2024/03/Guide-1-CMPA_PPMO_Infants.pdf" TargetMode="External"/><Relationship Id="rId43" Type="http://schemas.openxmlformats.org/officeDocument/2006/relationships/hyperlink" Target="https://www.midandsouthessexformulary.nhs.uk/chaptersSubDetails.asp?FormularySectionID=25&amp;SubSectionRef=A2.03&amp;SubSectionID=A100" TargetMode="External"/><Relationship Id="rId8" Type="http://schemas.openxmlformats.org/officeDocument/2006/relationships/hyperlink" Target="https://g-care.glos.nhs.uk/clinical-topic/cows-milk-protein-allergy-cmpa-c-yp/pathway" TargetMode="External"/><Relationship Id="rId3" Type="http://schemas.openxmlformats.org/officeDocument/2006/relationships/hyperlink" Target="https://www.derbyshiremedicinesmanagement.nhs.uk/assets/Clinical_Guidelines/Formulary_by_BNF_chapter_prescribing_guidelines/BNF_chapter_9/Derbyshire_CMA_guideline_Oct_24.pdf" TargetMode="External"/><Relationship Id="rId12" Type="http://schemas.openxmlformats.org/officeDocument/2006/relationships/hyperlink" Target="../../../CCG%20Guideline%20Tracker/PDF%20Guidelines/Suffolk%20&amp;%20NE%20Essex%20ICB/SNEE%202%20-%20North%20East%20Essex%20Guideline.jpg?csf=1&amp;web=1&amp;e=cvj6U2&amp;CID=63f898f3-8a21-4d03-87b6-4368c686a551" TargetMode="External"/><Relationship Id="rId17" Type="http://schemas.openxmlformats.org/officeDocument/2006/relationships/hyperlink" Target="https://cavuhb.nhs.wales/about-us/governance-and-assurance/freedom-of-information/disclosure-log/2020/months/october-2020/foi-20-401-hypoallergenic-formulas-for-the-diagnosis-and-management-of-cma18-pdf/" TargetMode="External"/><Relationship Id="rId25" Type="http://schemas.openxmlformats.org/officeDocument/2006/relationships/hyperlink" Target="https://www.icnorthamptonshire.org.uk/download/guidelines-for-clinical-management-of-infant-feeding-di.pdf?ver=65663" TargetMode="External"/><Relationship Id="rId33" Type="http://schemas.openxmlformats.org/officeDocument/2006/relationships/hyperlink" Target="https://www.cheshireformulary.nhs.uk/docs/files/Diagnosis%20and%20Management%20of%20Cows%20Milk%20Protein%20Allergy%20-%20Feb%202024.pdf" TargetMode="External"/><Relationship Id="rId38" Type="http://schemas.openxmlformats.org/officeDocument/2006/relationships/hyperlink" Target="https://www.hereworcsformulary.nhs.uk/chaptersSubDetails.asp?FormularySectionID=9&amp;SubSectionRef=09.04.01&amp;SubSectionID=A100" TargetMode="External"/><Relationship Id="rId20" Type="http://schemas.openxmlformats.org/officeDocument/2006/relationships/hyperlink" Target="https://gp-portal.westhampshireccg.nhs.uk/wp-content/uploads/2020/01/2018_Wessex_IF_guidelines-Final.pdf" TargetMode="External"/><Relationship Id="rId41" Type="http://schemas.openxmlformats.org/officeDocument/2006/relationships/hyperlink" Target="https://rbcom.sharepoint.com/sites/gbspodc/he/UKMJN/Forms/AllItems.aspx?id=%2Fsites%2Fgbspodc%2Fhe%2FUKMJN%2FSales%2FCCG%20Guideline%20Tracker%2FPDF%20Guidelines%2FNotts%20APC%202022%20cows%2Dmilk%2Dallergy%2Doverarching%2Dguide%2Epdf&amp;parent=%2Fsites%2Fgbspodc%2Fhe%2FUKMJN%2FSales%2FCCG%20Guideline%20Tracker%2FPDF%20Guideli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1593-AC59-4A86-9E50-71598AC49BCE}">
  <sheetPr filterMode="1"/>
  <dimension ref="A1:O136"/>
  <sheetViews>
    <sheetView tabSelected="1" workbookViewId="0"/>
  </sheetViews>
  <sheetFormatPr defaultRowHeight="15" x14ac:dyDescent="0.25"/>
  <cols>
    <col min="1" max="1" width="53.42578125" customWidth="1"/>
    <col min="2" max="2" width="33.5703125" customWidth="1"/>
    <col min="3" max="3" width="39.140625" bestFit="1" customWidth="1"/>
    <col min="4" max="4" width="40.42578125" customWidth="1"/>
    <col min="5" max="5" width="60.5703125" customWidth="1"/>
    <col min="6" max="6" width="16.7109375" bestFit="1" customWidth="1"/>
    <col min="7" max="7" width="20" style="1" bestFit="1" customWidth="1"/>
    <col min="8" max="8" width="16.42578125" style="1" bestFit="1" customWidth="1"/>
    <col min="9" max="9" width="103.28515625" customWidth="1"/>
    <col min="10" max="10" width="17" bestFit="1" customWidth="1"/>
    <col min="11" max="11" width="21.85546875" bestFit="1" customWidth="1"/>
    <col min="12" max="12" width="18.5703125" bestFit="1" customWidth="1"/>
    <col min="13" max="13" width="17" bestFit="1" customWidth="1"/>
    <col min="14" max="15" width="18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 t="str">
        <f t="shared" ref="A2:A65" si="0">IF(B2 = "NORTHERN IRELAND HSCB", C2, IF(B2 = "WELSH ASSEMBLY", C2, B2))</f>
        <v>BANES SWINDN &amp; WILTS ICS</v>
      </c>
      <c r="B2" t="s">
        <v>15</v>
      </c>
      <c r="C2" t="s">
        <v>16</v>
      </c>
      <c r="D2" t="s">
        <v>17</v>
      </c>
      <c r="F2" t="s">
        <v>18</v>
      </c>
      <c r="G2" s="1">
        <v>45108</v>
      </c>
      <c r="H2" s="1">
        <v>54789</v>
      </c>
      <c r="I2" t="s">
        <v>19</v>
      </c>
      <c r="J2" t="s">
        <v>20</v>
      </c>
      <c r="K2" t="s">
        <v>21</v>
      </c>
      <c r="L2" t="s">
        <v>22</v>
      </c>
      <c r="M2" t="s">
        <v>20</v>
      </c>
      <c r="N2" t="s">
        <v>23</v>
      </c>
      <c r="O2" t="s">
        <v>24</v>
      </c>
    </row>
    <row r="3" spans="1:15" hidden="1" x14ac:dyDescent="0.25">
      <c r="A3" t="str">
        <f t="shared" si="0"/>
        <v>BEDS LUTN &amp; MILT KNS ICS</v>
      </c>
      <c r="B3" t="s">
        <v>25</v>
      </c>
      <c r="C3" t="s">
        <v>26</v>
      </c>
      <c r="D3" t="s">
        <v>27</v>
      </c>
      <c r="F3" t="s">
        <v>28</v>
      </c>
      <c r="G3" s="1">
        <v>45536</v>
      </c>
      <c r="H3" s="1">
        <v>46266</v>
      </c>
      <c r="I3" t="s">
        <v>29</v>
      </c>
      <c r="J3" t="s">
        <v>30</v>
      </c>
      <c r="K3" t="s">
        <v>31</v>
      </c>
      <c r="L3" t="s">
        <v>32</v>
      </c>
      <c r="M3" t="s">
        <v>20</v>
      </c>
      <c r="N3" t="s">
        <v>33</v>
      </c>
      <c r="O3" t="s">
        <v>34</v>
      </c>
    </row>
    <row r="4" spans="1:15" hidden="1" x14ac:dyDescent="0.25">
      <c r="A4" t="str">
        <f t="shared" si="0"/>
        <v>BIRMINGHM &amp; SOLIHULL ICS</v>
      </c>
      <c r="B4" t="s">
        <v>35</v>
      </c>
      <c r="C4" t="s">
        <v>36</v>
      </c>
      <c r="D4" t="s">
        <v>37</v>
      </c>
      <c r="F4" t="s">
        <v>38</v>
      </c>
      <c r="G4" s="1">
        <v>45017</v>
      </c>
      <c r="H4" s="1">
        <v>54789</v>
      </c>
      <c r="I4" t="s">
        <v>39</v>
      </c>
      <c r="J4" t="s">
        <v>20</v>
      </c>
      <c r="K4" t="s">
        <v>21</v>
      </c>
      <c r="L4" t="s">
        <v>32</v>
      </c>
      <c r="M4" t="s">
        <v>40</v>
      </c>
      <c r="N4" t="s">
        <v>40</v>
      </c>
      <c r="O4" t="s">
        <v>40</v>
      </c>
    </row>
    <row r="5" spans="1:15" hidden="1" x14ac:dyDescent="0.25">
      <c r="A5" t="str">
        <f t="shared" si="0"/>
        <v>BLACK COUNTRY ICS</v>
      </c>
      <c r="B5" t="s">
        <v>41</v>
      </c>
      <c r="C5" t="s">
        <v>42</v>
      </c>
      <c r="D5" t="s">
        <v>43</v>
      </c>
      <c r="F5" t="s">
        <v>38</v>
      </c>
      <c r="G5" s="1">
        <v>44378</v>
      </c>
      <c r="H5" s="1">
        <v>45108</v>
      </c>
      <c r="I5" t="s">
        <v>44</v>
      </c>
      <c r="J5" t="s">
        <v>20</v>
      </c>
      <c r="K5" t="s">
        <v>21</v>
      </c>
      <c r="L5" t="s">
        <v>22</v>
      </c>
      <c r="M5" t="s">
        <v>30</v>
      </c>
      <c r="N5" t="s">
        <v>34</v>
      </c>
      <c r="O5" t="s">
        <v>33</v>
      </c>
    </row>
    <row r="6" spans="1:15" hidden="1" x14ac:dyDescent="0.25">
      <c r="A6" t="str">
        <f t="shared" si="0"/>
        <v>BRSTL N SOMER S GLOS ICS</v>
      </c>
      <c r="B6" t="s">
        <v>45</v>
      </c>
      <c r="C6" t="s">
        <v>46</v>
      </c>
      <c r="D6" t="s">
        <v>47</v>
      </c>
      <c r="F6" t="s">
        <v>48</v>
      </c>
      <c r="G6" s="1">
        <v>45689</v>
      </c>
      <c r="H6" s="1">
        <v>46357</v>
      </c>
      <c r="I6" t="s">
        <v>49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</row>
    <row r="7" spans="1:15" hidden="1" x14ac:dyDescent="0.25">
      <c r="A7" t="str">
        <f t="shared" si="0"/>
        <v>BUCKS OXFSH &amp; BRKS W ICS</v>
      </c>
      <c r="B7" t="s">
        <v>50</v>
      </c>
      <c r="C7" t="s">
        <v>51</v>
      </c>
      <c r="D7" t="s">
        <v>52</v>
      </c>
      <c r="F7" t="s">
        <v>53</v>
      </c>
      <c r="G7" s="1">
        <v>45474</v>
      </c>
      <c r="H7" s="1">
        <v>46569</v>
      </c>
      <c r="I7" t="s">
        <v>54</v>
      </c>
      <c r="J7" t="s">
        <v>20</v>
      </c>
      <c r="K7" t="s">
        <v>55</v>
      </c>
      <c r="L7" t="s">
        <v>56</v>
      </c>
      <c r="M7" t="s">
        <v>20</v>
      </c>
      <c r="N7" t="s">
        <v>33</v>
      </c>
      <c r="O7" t="s">
        <v>34</v>
      </c>
    </row>
    <row r="8" spans="1:15" hidden="1" x14ac:dyDescent="0.25">
      <c r="A8" t="str">
        <f t="shared" si="0"/>
        <v>BUCKS OXFSH &amp; BRKS W ICS</v>
      </c>
      <c r="B8" t="s">
        <v>50</v>
      </c>
      <c r="C8" t="s">
        <v>57</v>
      </c>
      <c r="D8" t="s">
        <v>52</v>
      </c>
      <c r="F8" t="s">
        <v>53</v>
      </c>
      <c r="G8" s="1">
        <v>45474</v>
      </c>
      <c r="H8" s="1">
        <v>46569</v>
      </c>
      <c r="I8" t="s">
        <v>54</v>
      </c>
      <c r="J8" t="s">
        <v>20</v>
      </c>
      <c r="K8" t="s">
        <v>55</v>
      </c>
      <c r="L8" t="s">
        <v>58</v>
      </c>
      <c r="M8" t="s">
        <v>20</v>
      </c>
      <c r="N8" t="s">
        <v>23</v>
      </c>
      <c r="O8" t="s">
        <v>24</v>
      </c>
    </row>
    <row r="9" spans="1:15" hidden="1" x14ac:dyDescent="0.25">
      <c r="A9" t="str">
        <f t="shared" si="0"/>
        <v>BUCKS OXFSH &amp; BRKS W ICS</v>
      </c>
      <c r="B9" t="s">
        <v>50</v>
      </c>
      <c r="C9" t="s">
        <v>59</v>
      </c>
      <c r="D9" t="s">
        <v>52</v>
      </c>
      <c r="F9" t="s">
        <v>53</v>
      </c>
      <c r="G9" s="1">
        <v>45474</v>
      </c>
      <c r="H9" s="1">
        <v>46569</v>
      </c>
      <c r="I9" t="s">
        <v>54</v>
      </c>
      <c r="J9" t="s">
        <v>20</v>
      </c>
      <c r="K9" t="s">
        <v>55</v>
      </c>
      <c r="L9" t="s">
        <v>58</v>
      </c>
      <c r="M9" t="s">
        <v>20</v>
      </c>
      <c r="N9" t="s">
        <v>23</v>
      </c>
      <c r="O9" t="s">
        <v>24</v>
      </c>
    </row>
    <row r="10" spans="1:15" hidden="1" x14ac:dyDescent="0.25">
      <c r="A10" t="str">
        <f t="shared" si="0"/>
        <v>CAMBS &amp; PETERBOROUGH ICS</v>
      </c>
      <c r="B10" t="s">
        <v>60</v>
      </c>
      <c r="C10" t="s">
        <v>61</v>
      </c>
      <c r="D10" t="s">
        <v>62</v>
      </c>
      <c r="F10" t="s">
        <v>28</v>
      </c>
      <c r="G10" s="1">
        <v>45200</v>
      </c>
      <c r="H10" s="1">
        <v>45931</v>
      </c>
      <c r="I10" t="s">
        <v>63</v>
      </c>
      <c r="J10" t="s">
        <v>20</v>
      </c>
      <c r="K10" t="s">
        <v>21</v>
      </c>
      <c r="L10" t="s">
        <v>32</v>
      </c>
      <c r="M10" t="s">
        <v>20</v>
      </c>
      <c r="N10" t="s">
        <v>23</v>
      </c>
      <c r="O10" t="s">
        <v>64</v>
      </c>
    </row>
    <row r="11" spans="1:15" hidden="1" x14ac:dyDescent="0.25">
      <c r="A11" t="str">
        <f t="shared" si="0"/>
        <v>CHANNEL ISLANDS</v>
      </c>
      <c r="B11" t="s">
        <v>65</v>
      </c>
      <c r="C11" t="s">
        <v>66</v>
      </c>
      <c r="D11" t="s">
        <v>67</v>
      </c>
      <c r="F11" t="s">
        <v>18</v>
      </c>
      <c r="G11" s="1">
        <v>54789</v>
      </c>
      <c r="H11" s="1">
        <v>54789</v>
      </c>
      <c r="I11" t="s">
        <v>68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</row>
    <row r="12" spans="1:15" hidden="1" x14ac:dyDescent="0.25">
      <c r="A12" t="str">
        <f t="shared" si="0"/>
        <v>CHANNEL ISLANDS</v>
      </c>
      <c r="B12" t="s">
        <v>65</v>
      </c>
      <c r="C12" t="s">
        <v>69</v>
      </c>
      <c r="D12" t="s">
        <v>70</v>
      </c>
      <c r="F12" t="s">
        <v>18</v>
      </c>
      <c r="G12" s="1">
        <v>54789</v>
      </c>
      <c r="H12" s="1">
        <v>54789</v>
      </c>
      <c r="I12" t="s">
        <v>71</v>
      </c>
      <c r="J12" t="s">
        <v>40</v>
      </c>
      <c r="K12" t="s">
        <v>40</v>
      </c>
      <c r="L12" t="s">
        <v>40</v>
      </c>
      <c r="M12" t="s">
        <v>40</v>
      </c>
      <c r="N12" t="s">
        <v>40</v>
      </c>
      <c r="O12" t="s">
        <v>40</v>
      </c>
    </row>
    <row r="13" spans="1:15" hidden="1" x14ac:dyDescent="0.25">
      <c r="A13" t="str">
        <f t="shared" si="0"/>
        <v>CHESHIRE &amp; MERSEYSDE ICS</v>
      </c>
      <c r="B13" t="s">
        <v>72</v>
      </c>
      <c r="C13" t="s">
        <v>73</v>
      </c>
      <c r="D13" t="s">
        <v>74</v>
      </c>
      <c r="F13" t="s">
        <v>75</v>
      </c>
      <c r="G13" s="1">
        <v>44378</v>
      </c>
      <c r="H13" s="1">
        <v>45474</v>
      </c>
      <c r="I13" t="s">
        <v>76</v>
      </c>
      <c r="J13" t="s">
        <v>40</v>
      </c>
      <c r="K13" t="s">
        <v>40</v>
      </c>
      <c r="L13" t="s">
        <v>40</v>
      </c>
      <c r="M13" t="s">
        <v>40</v>
      </c>
      <c r="N13" t="s">
        <v>40</v>
      </c>
      <c r="O13" t="s">
        <v>40</v>
      </c>
    </row>
    <row r="14" spans="1:15" hidden="1" x14ac:dyDescent="0.25">
      <c r="A14" t="str">
        <f t="shared" si="0"/>
        <v>CHESHIRE &amp; MERSEYSDE ICS</v>
      </c>
      <c r="B14" t="s">
        <v>72</v>
      </c>
      <c r="C14" t="s">
        <v>77</v>
      </c>
      <c r="D14" t="s">
        <v>78</v>
      </c>
      <c r="F14" t="s">
        <v>75</v>
      </c>
      <c r="G14" s="1">
        <v>44378</v>
      </c>
      <c r="H14" s="1">
        <v>45474</v>
      </c>
      <c r="I14" t="s">
        <v>76</v>
      </c>
      <c r="J14" t="s">
        <v>40</v>
      </c>
      <c r="K14" t="s">
        <v>40</v>
      </c>
      <c r="L14" t="s">
        <v>40</v>
      </c>
      <c r="M14" t="s">
        <v>40</v>
      </c>
      <c r="N14" t="s">
        <v>40</v>
      </c>
      <c r="O14" t="s">
        <v>40</v>
      </c>
    </row>
    <row r="15" spans="1:15" hidden="1" x14ac:dyDescent="0.25">
      <c r="A15" t="str">
        <f t="shared" si="0"/>
        <v>CHESHIRE &amp; MERSEYSDE ICS</v>
      </c>
      <c r="B15" t="s">
        <v>72</v>
      </c>
      <c r="C15" t="s">
        <v>79</v>
      </c>
      <c r="D15" t="s">
        <v>78</v>
      </c>
      <c r="F15" t="s">
        <v>75</v>
      </c>
      <c r="G15" s="1">
        <v>44378</v>
      </c>
      <c r="H15" s="1">
        <v>45474</v>
      </c>
      <c r="I15" t="s">
        <v>76</v>
      </c>
      <c r="J15" t="s">
        <v>40</v>
      </c>
      <c r="K15" t="s">
        <v>40</v>
      </c>
      <c r="L15" t="s">
        <v>40</v>
      </c>
      <c r="M15" t="s">
        <v>40</v>
      </c>
      <c r="N15" t="s">
        <v>40</v>
      </c>
      <c r="O15" t="s">
        <v>40</v>
      </c>
    </row>
    <row r="16" spans="1:15" hidden="1" x14ac:dyDescent="0.25">
      <c r="A16" t="str">
        <f t="shared" si="0"/>
        <v>CHESHIRE &amp; MERSEYSDE ICS</v>
      </c>
      <c r="B16" t="s">
        <v>72</v>
      </c>
      <c r="C16" t="s">
        <v>80</v>
      </c>
      <c r="D16" t="s">
        <v>78</v>
      </c>
      <c r="F16" t="s">
        <v>75</v>
      </c>
      <c r="G16" s="1">
        <v>44378</v>
      </c>
      <c r="H16" s="1">
        <v>45474</v>
      </c>
      <c r="I16" t="s">
        <v>76</v>
      </c>
      <c r="J16" t="s">
        <v>40</v>
      </c>
      <c r="K16" t="s">
        <v>40</v>
      </c>
      <c r="L16" t="s">
        <v>40</v>
      </c>
      <c r="M16" t="s">
        <v>40</v>
      </c>
      <c r="N16" t="s">
        <v>40</v>
      </c>
      <c r="O16" t="s">
        <v>40</v>
      </c>
    </row>
    <row r="17" spans="1:15" hidden="1" x14ac:dyDescent="0.25">
      <c r="A17" t="str">
        <f t="shared" si="0"/>
        <v>CHESHIRE &amp; MERSEYSDE ICS</v>
      </c>
      <c r="B17" t="s">
        <v>72</v>
      </c>
      <c r="C17" t="s">
        <v>81</v>
      </c>
      <c r="D17" t="s">
        <v>78</v>
      </c>
      <c r="F17" t="s">
        <v>75</v>
      </c>
      <c r="G17" s="1">
        <v>44378</v>
      </c>
      <c r="H17" s="1">
        <v>45474</v>
      </c>
      <c r="I17" t="s">
        <v>76</v>
      </c>
      <c r="J17" t="s">
        <v>40</v>
      </c>
      <c r="K17" t="s">
        <v>40</v>
      </c>
      <c r="L17" t="s">
        <v>40</v>
      </c>
      <c r="M17" t="s">
        <v>40</v>
      </c>
      <c r="N17" t="s">
        <v>40</v>
      </c>
      <c r="O17" t="s">
        <v>40</v>
      </c>
    </row>
    <row r="18" spans="1:15" hidden="1" x14ac:dyDescent="0.25">
      <c r="A18" t="str">
        <f t="shared" si="0"/>
        <v>CHESHIRE &amp; MERSEYSDE ICS</v>
      </c>
      <c r="B18" t="s">
        <v>72</v>
      </c>
      <c r="C18" t="s">
        <v>82</v>
      </c>
      <c r="D18" t="s">
        <v>78</v>
      </c>
      <c r="F18" t="s">
        <v>75</v>
      </c>
      <c r="G18" s="1">
        <v>44378</v>
      </c>
      <c r="H18" s="1">
        <v>45474</v>
      </c>
      <c r="I18" t="s">
        <v>76</v>
      </c>
      <c r="J18" t="s">
        <v>40</v>
      </c>
      <c r="K18" t="s">
        <v>40</v>
      </c>
      <c r="L18" t="s">
        <v>40</v>
      </c>
      <c r="M18" t="s">
        <v>40</v>
      </c>
      <c r="N18" t="s">
        <v>40</v>
      </c>
      <c r="O18" t="s">
        <v>40</v>
      </c>
    </row>
    <row r="19" spans="1:15" hidden="1" x14ac:dyDescent="0.25">
      <c r="A19" t="str">
        <f t="shared" si="0"/>
        <v>CHESHIRE &amp; MERSEYSDE ICS</v>
      </c>
      <c r="B19" t="s">
        <v>72</v>
      </c>
      <c r="C19" t="s">
        <v>83</v>
      </c>
      <c r="D19" t="s">
        <v>78</v>
      </c>
      <c r="F19" t="s">
        <v>75</v>
      </c>
      <c r="G19" s="1">
        <v>44378</v>
      </c>
      <c r="H19" s="1">
        <v>45474</v>
      </c>
      <c r="I19" t="s">
        <v>76</v>
      </c>
      <c r="J19" t="s">
        <v>40</v>
      </c>
      <c r="K19" t="s">
        <v>40</v>
      </c>
      <c r="L19" t="s">
        <v>40</v>
      </c>
      <c r="M19" t="s">
        <v>40</v>
      </c>
      <c r="N19" t="s">
        <v>40</v>
      </c>
      <c r="O19" t="s">
        <v>40</v>
      </c>
    </row>
    <row r="20" spans="1:15" hidden="1" x14ac:dyDescent="0.25">
      <c r="A20" t="str">
        <f t="shared" si="0"/>
        <v>CHESHIRE &amp; MERSEYSDE ICS</v>
      </c>
      <c r="B20" t="s">
        <v>72</v>
      </c>
      <c r="C20" t="s">
        <v>84</v>
      </c>
      <c r="D20" t="s">
        <v>78</v>
      </c>
      <c r="F20" t="s">
        <v>75</v>
      </c>
      <c r="G20" s="1">
        <v>44378</v>
      </c>
      <c r="H20" s="1">
        <v>45474</v>
      </c>
      <c r="I20" t="s">
        <v>76</v>
      </c>
      <c r="J20" t="s">
        <v>40</v>
      </c>
      <c r="K20" t="s">
        <v>40</v>
      </c>
      <c r="L20" t="s">
        <v>40</v>
      </c>
      <c r="M20" t="s">
        <v>40</v>
      </c>
      <c r="N20" t="s">
        <v>40</v>
      </c>
      <c r="O20" t="s">
        <v>40</v>
      </c>
    </row>
    <row r="21" spans="1:15" hidden="1" x14ac:dyDescent="0.25">
      <c r="A21" t="str">
        <f t="shared" si="0"/>
        <v>CHESHIRE &amp; MERSEYSDE ICS</v>
      </c>
      <c r="B21" t="s">
        <v>72</v>
      </c>
      <c r="C21" t="s">
        <v>85</v>
      </c>
      <c r="D21" t="s">
        <v>78</v>
      </c>
      <c r="F21" t="s">
        <v>75</v>
      </c>
      <c r="G21" s="1">
        <v>44378</v>
      </c>
      <c r="H21" s="1">
        <v>45474</v>
      </c>
      <c r="I21" t="s">
        <v>76</v>
      </c>
      <c r="J21" t="s">
        <v>40</v>
      </c>
      <c r="K21" t="s">
        <v>40</v>
      </c>
      <c r="L21" t="s">
        <v>40</v>
      </c>
      <c r="M21" t="s">
        <v>40</v>
      </c>
      <c r="N21" t="s">
        <v>40</v>
      </c>
      <c r="O21" t="s">
        <v>40</v>
      </c>
    </row>
    <row r="22" spans="1:15" hidden="1" x14ac:dyDescent="0.25">
      <c r="A22" t="str">
        <f t="shared" si="0"/>
        <v>COVENTRY &amp; WARWICKSH ICS</v>
      </c>
      <c r="B22" t="s">
        <v>86</v>
      </c>
      <c r="C22" t="s">
        <v>87</v>
      </c>
      <c r="D22" t="s">
        <v>88</v>
      </c>
      <c r="F22" t="s">
        <v>38</v>
      </c>
      <c r="G22" s="1">
        <v>43101</v>
      </c>
      <c r="H22" s="1">
        <v>54789</v>
      </c>
      <c r="I22" t="s">
        <v>89</v>
      </c>
      <c r="J22" t="s">
        <v>20</v>
      </c>
      <c r="K22" t="s">
        <v>32</v>
      </c>
      <c r="L22" t="s">
        <v>31</v>
      </c>
      <c r="M22" t="s">
        <v>40</v>
      </c>
      <c r="N22" t="s">
        <v>40</v>
      </c>
      <c r="O22" t="s">
        <v>40</v>
      </c>
    </row>
    <row r="23" spans="1:15" hidden="1" x14ac:dyDescent="0.25">
      <c r="A23" t="str">
        <f t="shared" si="0"/>
        <v>CRNWLL &amp; IS OF SCILL ICS</v>
      </c>
      <c r="B23" t="s">
        <v>90</v>
      </c>
      <c r="C23" t="s">
        <v>91</v>
      </c>
      <c r="D23" t="s">
        <v>92</v>
      </c>
      <c r="F23" t="s">
        <v>18</v>
      </c>
      <c r="G23" s="1">
        <v>54789</v>
      </c>
      <c r="H23" s="1">
        <v>54789</v>
      </c>
      <c r="I23" t="s">
        <v>93</v>
      </c>
      <c r="J23" t="s">
        <v>20</v>
      </c>
      <c r="K23" t="s">
        <v>32</v>
      </c>
      <c r="L23" t="s">
        <v>68</v>
      </c>
      <c r="M23" t="s">
        <v>40</v>
      </c>
      <c r="N23" t="s">
        <v>40</v>
      </c>
      <c r="O23" t="s">
        <v>40</v>
      </c>
    </row>
    <row r="24" spans="1:15" hidden="1" x14ac:dyDescent="0.25">
      <c r="A24" t="str">
        <f t="shared" si="0"/>
        <v>DERBY &amp; DERBYSHIRE ICS</v>
      </c>
      <c r="B24" t="s">
        <v>94</v>
      </c>
      <c r="C24" t="s">
        <v>95</v>
      </c>
      <c r="D24" t="s">
        <v>96</v>
      </c>
      <c r="F24" t="s">
        <v>38</v>
      </c>
      <c r="G24" s="1">
        <v>45474</v>
      </c>
      <c r="H24" s="1">
        <v>46631</v>
      </c>
      <c r="I24" t="s">
        <v>97</v>
      </c>
      <c r="J24" t="s">
        <v>30</v>
      </c>
      <c r="K24" t="s">
        <v>98</v>
      </c>
      <c r="L24" t="s">
        <v>22</v>
      </c>
      <c r="M24" t="s">
        <v>30</v>
      </c>
      <c r="N24" t="s">
        <v>34</v>
      </c>
      <c r="O24" t="s">
        <v>33</v>
      </c>
    </row>
    <row r="25" spans="1:15" hidden="1" x14ac:dyDescent="0.25">
      <c r="A25" t="str">
        <f t="shared" si="0"/>
        <v>DEVON ICS</v>
      </c>
      <c r="B25" t="s">
        <v>99</v>
      </c>
      <c r="C25" t="s">
        <v>100</v>
      </c>
      <c r="D25" t="s">
        <v>101</v>
      </c>
      <c r="F25" t="s">
        <v>18</v>
      </c>
      <c r="G25" s="1">
        <v>54789</v>
      </c>
      <c r="H25" s="1">
        <v>54789</v>
      </c>
      <c r="I25" t="s">
        <v>102</v>
      </c>
      <c r="J25" t="s">
        <v>30</v>
      </c>
      <c r="K25" t="s">
        <v>98</v>
      </c>
      <c r="L25" t="s">
        <v>68</v>
      </c>
      <c r="M25" t="s">
        <v>30</v>
      </c>
      <c r="N25" t="s">
        <v>34</v>
      </c>
      <c r="O25" t="s">
        <v>68</v>
      </c>
    </row>
    <row r="26" spans="1:15" hidden="1" x14ac:dyDescent="0.25">
      <c r="A26" t="str">
        <f t="shared" si="0"/>
        <v>DORSET ICS</v>
      </c>
      <c r="B26" t="s">
        <v>103</v>
      </c>
      <c r="C26" t="s">
        <v>104</v>
      </c>
      <c r="D26" t="s">
        <v>105</v>
      </c>
      <c r="F26" t="s">
        <v>18</v>
      </c>
      <c r="G26" s="1">
        <v>43221</v>
      </c>
      <c r="H26" s="1">
        <v>43586</v>
      </c>
      <c r="I26" t="s">
        <v>106</v>
      </c>
      <c r="J26" t="s">
        <v>40</v>
      </c>
      <c r="K26" t="s">
        <v>40</v>
      </c>
      <c r="L26" t="s">
        <v>40</v>
      </c>
      <c r="M26" t="s">
        <v>40</v>
      </c>
      <c r="N26" t="s">
        <v>40</v>
      </c>
      <c r="O26" t="s">
        <v>40</v>
      </c>
    </row>
    <row r="27" spans="1:15" hidden="1" x14ac:dyDescent="0.25">
      <c r="A27" t="str">
        <f t="shared" si="0"/>
        <v>FRIMLEY HLTH &amp; CARE ICS</v>
      </c>
      <c r="B27" t="s">
        <v>107</v>
      </c>
      <c r="C27" t="s">
        <v>108</v>
      </c>
      <c r="D27" t="s">
        <v>109</v>
      </c>
      <c r="F27" t="s">
        <v>110</v>
      </c>
      <c r="G27" s="1">
        <v>44896</v>
      </c>
      <c r="H27" s="1">
        <v>45992</v>
      </c>
      <c r="I27" t="s">
        <v>111</v>
      </c>
      <c r="J27" t="s">
        <v>30</v>
      </c>
      <c r="K27" t="s">
        <v>31</v>
      </c>
      <c r="L27" t="s">
        <v>32</v>
      </c>
      <c r="M27" t="s">
        <v>40</v>
      </c>
      <c r="N27" t="s">
        <v>40</v>
      </c>
      <c r="O27" t="s">
        <v>40</v>
      </c>
    </row>
    <row r="28" spans="1:15" hidden="1" x14ac:dyDescent="0.25">
      <c r="A28" t="str">
        <f t="shared" si="0"/>
        <v>GLOUCESTERSHIRE ICS</v>
      </c>
      <c r="B28" t="s">
        <v>112</v>
      </c>
      <c r="C28" t="s">
        <v>113</v>
      </c>
      <c r="D28" t="s">
        <v>114</v>
      </c>
      <c r="F28" t="s">
        <v>18</v>
      </c>
      <c r="G28" s="1">
        <v>54789</v>
      </c>
      <c r="H28" s="1">
        <v>54789</v>
      </c>
      <c r="I28" t="s">
        <v>115</v>
      </c>
      <c r="J28" t="s">
        <v>30</v>
      </c>
      <c r="K28" t="s">
        <v>116</v>
      </c>
      <c r="L28" t="s">
        <v>68</v>
      </c>
      <c r="M28" t="s">
        <v>20</v>
      </c>
      <c r="N28" t="s">
        <v>117</v>
      </c>
      <c r="O28" t="s">
        <v>118</v>
      </c>
    </row>
    <row r="29" spans="1:15" hidden="1" x14ac:dyDescent="0.25">
      <c r="A29" t="str">
        <f t="shared" si="0"/>
        <v>GREATER MANCHESTER ICS</v>
      </c>
      <c r="B29" t="s">
        <v>119</v>
      </c>
      <c r="C29" t="s">
        <v>120</v>
      </c>
      <c r="D29" t="s">
        <v>121</v>
      </c>
      <c r="F29" t="s">
        <v>75</v>
      </c>
      <c r="G29" s="1">
        <v>43952</v>
      </c>
      <c r="H29" s="1">
        <v>45383</v>
      </c>
      <c r="I29" t="s">
        <v>68</v>
      </c>
      <c r="J29" t="s">
        <v>40</v>
      </c>
      <c r="K29" t="s">
        <v>40</v>
      </c>
      <c r="L29" t="s">
        <v>40</v>
      </c>
      <c r="M29" t="s">
        <v>40</v>
      </c>
      <c r="N29" t="s">
        <v>40</v>
      </c>
      <c r="O29" t="s">
        <v>40</v>
      </c>
    </row>
    <row r="30" spans="1:15" hidden="1" x14ac:dyDescent="0.25">
      <c r="A30" t="str">
        <f t="shared" si="0"/>
        <v>GREATER MANCHESTER ICS</v>
      </c>
      <c r="B30" t="s">
        <v>119</v>
      </c>
      <c r="C30" t="s">
        <v>122</v>
      </c>
      <c r="D30" t="s">
        <v>121</v>
      </c>
      <c r="F30" t="s">
        <v>75</v>
      </c>
      <c r="G30" s="1">
        <v>43952</v>
      </c>
      <c r="H30" s="1">
        <v>45383</v>
      </c>
      <c r="I30" t="s">
        <v>68</v>
      </c>
      <c r="J30" t="s">
        <v>40</v>
      </c>
      <c r="K30" t="s">
        <v>40</v>
      </c>
      <c r="L30" t="s">
        <v>40</v>
      </c>
      <c r="M30" t="s">
        <v>40</v>
      </c>
      <c r="N30" t="s">
        <v>40</v>
      </c>
      <c r="O30" t="s">
        <v>40</v>
      </c>
    </row>
    <row r="31" spans="1:15" hidden="1" x14ac:dyDescent="0.25">
      <c r="A31" t="str">
        <f t="shared" si="0"/>
        <v>GREATER MANCHESTER ICS</v>
      </c>
      <c r="B31" t="s">
        <v>119</v>
      </c>
      <c r="C31" t="s">
        <v>123</v>
      </c>
      <c r="D31" t="s">
        <v>121</v>
      </c>
      <c r="F31" t="s">
        <v>75</v>
      </c>
      <c r="G31" s="1">
        <v>43952</v>
      </c>
      <c r="H31" s="1">
        <v>45383</v>
      </c>
      <c r="I31" t="s">
        <v>68</v>
      </c>
      <c r="J31" t="s">
        <v>40</v>
      </c>
      <c r="K31" t="s">
        <v>40</v>
      </c>
      <c r="L31" t="s">
        <v>40</v>
      </c>
      <c r="M31" t="s">
        <v>40</v>
      </c>
      <c r="N31" t="s">
        <v>40</v>
      </c>
      <c r="O31" t="s">
        <v>40</v>
      </c>
    </row>
    <row r="32" spans="1:15" hidden="1" x14ac:dyDescent="0.25">
      <c r="A32" t="str">
        <f t="shared" si="0"/>
        <v>GREATER MANCHESTER ICS</v>
      </c>
      <c r="B32" t="s">
        <v>119</v>
      </c>
      <c r="C32" t="s">
        <v>124</v>
      </c>
      <c r="D32" t="s">
        <v>121</v>
      </c>
      <c r="F32" t="s">
        <v>75</v>
      </c>
      <c r="G32" s="1">
        <v>43952</v>
      </c>
      <c r="H32" s="1">
        <v>45383</v>
      </c>
      <c r="I32" t="s">
        <v>68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</row>
    <row r="33" spans="1:15" hidden="1" x14ac:dyDescent="0.25">
      <c r="A33" t="str">
        <f t="shared" si="0"/>
        <v>GREATER MANCHESTER ICS</v>
      </c>
      <c r="B33" t="s">
        <v>119</v>
      </c>
      <c r="C33" t="s">
        <v>125</v>
      </c>
      <c r="D33" t="s">
        <v>121</v>
      </c>
      <c r="F33" t="s">
        <v>75</v>
      </c>
      <c r="G33" s="1">
        <v>43952</v>
      </c>
      <c r="H33" s="1">
        <v>45383</v>
      </c>
      <c r="I33" t="s">
        <v>68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</row>
    <row r="34" spans="1:15" hidden="1" x14ac:dyDescent="0.25">
      <c r="A34" t="str">
        <f t="shared" si="0"/>
        <v>GREATER MANCHESTER ICS</v>
      </c>
      <c r="B34" t="s">
        <v>119</v>
      </c>
      <c r="C34" t="s">
        <v>126</v>
      </c>
      <c r="D34" t="s">
        <v>121</v>
      </c>
      <c r="F34" t="s">
        <v>75</v>
      </c>
      <c r="G34" s="1">
        <v>43952</v>
      </c>
      <c r="H34" s="1">
        <v>45383</v>
      </c>
      <c r="I34" t="s">
        <v>68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</row>
    <row r="35" spans="1:15" hidden="1" x14ac:dyDescent="0.25">
      <c r="A35" t="str">
        <f t="shared" si="0"/>
        <v>GREATER MANCHESTER ICS</v>
      </c>
      <c r="B35" t="s">
        <v>119</v>
      </c>
      <c r="C35" t="s">
        <v>127</v>
      </c>
      <c r="D35" t="s">
        <v>121</v>
      </c>
      <c r="F35" t="s">
        <v>75</v>
      </c>
      <c r="G35" s="1">
        <v>43952</v>
      </c>
      <c r="H35" s="1">
        <v>45383</v>
      </c>
      <c r="I35" t="s">
        <v>68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</row>
    <row r="36" spans="1:15" hidden="1" x14ac:dyDescent="0.25">
      <c r="A36" t="str">
        <f t="shared" si="0"/>
        <v>GREATER MANCHESTER ICS</v>
      </c>
      <c r="B36" t="s">
        <v>119</v>
      </c>
      <c r="C36" t="s">
        <v>128</v>
      </c>
      <c r="D36" t="s">
        <v>121</v>
      </c>
      <c r="F36" t="s">
        <v>75</v>
      </c>
      <c r="G36" s="1">
        <v>43952</v>
      </c>
      <c r="H36" s="1">
        <v>45383</v>
      </c>
      <c r="I36" t="s">
        <v>68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</row>
    <row r="37" spans="1:15" hidden="1" x14ac:dyDescent="0.25">
      <c r="A37" t="str">
        <f t="shared" si="0"/>
        <v>GREATER MANCHESTER ICS</v>
      </c>
      <c r="B37" t="s">
        <v>119</v>
      </c>
      <c r="C37" t="s">
        <v>129</v>
      </c>
      <c r="D37" t="s">
        <v>121</v>
      </c>
      <c r="F37" t="s">
        <v>75</v>
      </c>
      <c r="G37" s="1">
        <v>43952</v>
      </c>
      <c r="H37" s="1">
        <v>45383</v>
      </c>
      <c r="I37" t="s">
        <v>68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</row>
    <row r="38" spans="1:15" hidden="1" x14ac:dyDescent="0.25">
      <c r="A38" t="str">
        <f t="shared" si="0"/>
        <v>GREATER MANCHESTER ICS</v>
      </c>
      <c r="B38" t="s">
        <v>119</v>
      </c>
      <c r="C38" t="s">
        <v>130</v>
      </c>
      <c r="D38" t="s">
        <v>121</v>
      </c>
      <c r="F38" t="s">
        <v>75</v>
      </c>
      <c r="G38" s="1">
        <v>43952</v>
      </c>
      <c r="H38" s="1">
        <v>45383</v>
      </c>
      <c r="I38" t="s">
        <v>68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</row>
    <row r="39" spans="1:15" hidden="1" x14ac:dyDescent="0.25">
      <c r="A39" t="str">
        <f t="shared" si="0"/>
        <v>HAMPSHIRE &amp; IOW ICS</v>
      </c>
      <c r="B39" t="s">
        <v>131</v>
      </c>
      <c r="C39" t="s">
        <v>132</v>
      </c>
      <c r="D39" t="s">
        <v>133</v>
      </c>
      <c r="F39" t="s">
        <v>53</v>
      </c>
      <c r="G39" s="1">
        <v>43221</v>
      </c>
      <c r="H39" s="1">
        <v>43586</v>
      </c>
      <c r="I39" t="s">
        <v>106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</row>
    <row r="40" spans="1:15" hidden="1" x14ac:dyDescent="0.25">
      <c r="A40" t="str">
        <f t="shared" si="0"/>
        <v>HAMPSHIRE &amp; IOW ICS</v>
      </c>
      <c r="B40" t="s">
        <v>131</v>
      </c>
      <c r="C40" t="s">
        <v>134</v>
      </c>
      <c r="D40" t="s">
        <v>105</v>
      </c>
      <c r="F40" t="s">
        <v>53</v>
      </c>
      <c r="G40" s="1">
        <v>43221</v>
      </c>
      <c r="H40" s="1">
        <v>43586</v>
      </c>
      <c r="I40" t="s">
        <v>106</v>
      </c>
      <c r="J40" t="s">
        <v>40</v>
      </c>
      <c r="K40" t="s">
        <v>40</v>
      </c>
      <c r="L40" t="s">
        <v>40</v>
      </c>
      <c r="M40" t="s">
        <v>40</v>
      </c>
      <c r="N40" t="s">
        <v>40</v>
      </c>
      <c r="O40" t="s">
        <v>40</v>
      </c>
    </row>
    <row r="41" spans="1:15" hidden="1" x14ac:dyDescent="0.25">
      <c r="A41" t="str">
        <f t="shared" si="0"/>
        <v>HEREFORDSHRE &amp; WORCS ICS</v>
      </c>
      <c r="B41" t="s">
        <v>135</v>
      </c>
      <c r="C41" t="s">
        <v>136</v>
      </c>
      <c r="D41" t="s">
        <v>137</v>
      </c>
      <c r="F41" t="s">
        <v>18</v>
      </c>
      <c r="G41" s="1">
        <v>44593</v>
      </c>
      <c r="H41" s="1">
        <v>45689</v>
      </c>
      <c r="I41" t="s">
        <v>138</v>
      </c>
      <c r="J41" t="s">
        <v>30</v>
      </c>
      <c r="K41" t="s">
        <v>139</v>
      </c>
      <c r="L41" t="s">
        <v>68</v>
      </c>
      <c r="M41" t="s">
        <v>30</v>
      </c>
      <c r="N41" t="s">
        <v>34</v>
      </c>
      <c r="O41" t="s">
        <v>33</v>
      </c>
    </row>
    <row r="42" spans="1:15" hidden="1" x14ac:dyDescent="0.25">
      <c r="A42" t="str">
        <f t="shared" si="0"/>
        <v>HERTFORDSH &amp; W ESSEX ICS</v>
      </c>
      <c r="B42" t="s">
        <v>140</v>
      </c>
      <c r="C42" t="s">
        <v>141</v>
      </c>
      <c r="D42" t="s">
        <v>142</v>
      </c>
      <c r="F42" t="s">
        <v>28</v>
      </c>
      <c r="G42" s="1">
        <v>45383</v>
      </c>
      <c r="H42" s="1">
        <v>46478</v>
      </c>
      <c r="I42" t="s">
        <v>143</v>
      </c>
      <c r="J42" t="s">
        <v>20</v>
      </c>
      <c r="K42" t="s">
        <v>21</v>
      </c>
      <c r="L42" t="s">
        <v>32</v>
      </c>
      <c r="M42" t="s">
        <v>20</v>
      </c>
      <c r="N42" t="s">
        <v>33</v>
      </c>
      <c r="O42" t="s">
        <v>144</v>
      </c>
    </row>
    <row r="43" spans="1:15" hidden="1" x14ac:dyDescent="0.25">
      <c r="A43" t="str">
        <f t="shared" si="0"/>
        <v>HERTFORDSH &amp; W ESSEX ICS</v>
      </c>
      <c r="B43" t="s">
        <v>140</v>
      </c>
      <c r="C43" t="s">
        <v>145</v>
      </c>
      <c r="D43" t="s">
        <v>142</v>
      </c>
      <c r="F43" t="s">
        <v>28</v>
      </c>
      <c r="G43" s="1">
        <v>45383</v>
      </c>
      <c r="H43" s="1">
        <v>46478</v>
      </c>
      <c r="I43" t="s">
        <v>143</v>
      </c>
      <c r="J43" t="s">
        <v>20</v>
      </c>
      <c r="K43" t="s">
        <v>21</v>
      </c>
      <c r="L43" t="s">
        <v>32</v>
      </c>
      <c r="M43" t="s">
        <v>20</v>
      </c>
      <c r="N43" t="s">
        <v>33</v>
      </c>
      <c r="O43" t="s">
        <v>144</v>
      </c>
    </row>
    <row r="44" spans="1:15" hidden="1" x14ac:dyDescent="0.25">
      <c r="A44" t="str">
        <f t="shared" si="0"/>
        <v>HERTFORDSH &amp; W ESSEX ICS</v>
      </c>
      <c r="B44" t="s">
        <v>140</v>
      </c>
      <c r="C44" t="s">
        <v>146</v>
      </c>
      <c r="D44" t="s">
        <v>142</v>
      </c>
      <c r="F44" t="s">
        <v>28</v>
      </c>
      <c r="G44" s="1">
        <v>45383</v>
      </c>
      <c r="H44" s="1">
        <v>46478</v>
      </c>
      <c r="I44" t="s">
        <v>143</v>
      </c>
      <c r="J44" t="s">
        <v>20</v>
      </c>
      <c r="K44" t="s">
        <v>21</v>
      </c>
      <c r="L44" t="s">
        <v>32</v>
      </c>
      <c r="M44" t="s">
        <v>20</v>
      </c>
      <c r="N44" t="s">
        <v>33</v>
      </c>
      <c r="O44" t="s">
        <v>144</v>
      </c>
    </row>
    <row r="45" spans="1:15" hidden="1" x14ac:dyDescent="0.25">
      <c r="A45" t="str">
        <f t="shared" si="0"/>
        <v>HUMBER &amp; N YORKSHIRE ICS</v>
      </c>
      <c r="B45" t="s">
        <v>147</v>
      </c>
      <c r="C45" t="s">
        <v>148</v>
      </c>
      <c r="D45" t="s">
        <v>149</v>
      </c>
      <c r="F45" t="s">
        <v>150</v>
      </c>
      <c r="G45" s="1">
        <v>45200</v>
      </c>
      <c r="H45" s="1">
        <v>46296</v>
      </c>
      <c r="I45" t="s">
        <v>151</v>
      </c>
      <c r="J45" t="s">
        <v>40</v>
      </c>
      <c r="K45" t="s">
        <v>40</v>
      </c>
      <c r="L45" t="s">
        <v>40</v>
      </c>
      <c r="M45" t="s">
        <v>40</v>
      </c>
      <c r="N45" t="s">
        <v>40</v>
      </c>
      <c r="O45" t="s">
        <v>40</v>
      </c>
    </row>
    <row r="46" spans="1:15" hidden="1" x14ac:dyDescent="0.25">
      <c r="A46" t="str">
        <f t="shared" si="0"/>
        <v>HUMBER &amp; N YORKSHIRE ICS</v>
      </c>
      <c r="B46" t="s">
        <v>147</v>
      </c>
      <c r="C46" t="s">
        <v>152</v>
      </c>
      <c r="D46" t="s">
        <v>153</v>
      </c>
      <c r="F46" t="s">
        <v>150</v>
      </c>
      <c r="G46" s="1">
        <v>45200</v>
      </c>
      <c r="H46" s="1">
        <v>46296</v>
      </c>
      <c r="I46" t="s">
        <v>151</v>
      </c>
      <c r="J46" t="s">
        <v>40</v>
      </c>
      <c r="K46" t="s">
        <v>40</v>
      </c>
      <c r="L46" t="s">
        <v>40</v>
      </c>
      <c r="M46" t="s">
        <v>40</v>
      </c>
      <c r="N46" t="s">
        <v>40</v>
      </c>
      <c r="O46" t="s">
        <v>40</v>
      </c>
    </row>
    <row r="47" spans="1:15" hidden="1" x14ac:dyDescent="0.25">
      <c r="A47" t="str">
        <f t="shared" si="0"/>
        <v>HUMBER &amp; N YORKSHIRE ICS</v>
      </c>
      <c r="B47" t="s">
        <v>147</v>
      </c>
      <c r="C47" t="s">
        <v>154</v>
      </c>
      <c r="D47" t="s">
        <v>149</v>
      </c>
      <c r="F47" t="s">
        <v>150</v>
      </c>
      <c r="G47" s="1">
        <v>45200</v>
      </c>
      <c r="H47" s="1">
        <v>46296</v>
      </c>
      <c r="I47" t="s">
        <v>151</v>
      </c>
      <c r="J47" t="s">
        <v>40</v>
      </c>
      <c r="K47" t="s">
        <v>40</v>
      </c>
      <c r="L47" t="s">
        <v>40</v>
      </c>
      <c r="M47" t="s">
        <v>40</v>
      </c>
      <c r="N47" t="s">
        <v>40</v>
      </c>
      <c r="O47" t="s">
        <v>40</v>
      </c>
    </row>
    <row r="48" spans="1:15" hidden="1" x14ac:dyDescent="0.25">
      <c r="A48" t="str">
        <f t="shared" si="0"/>
        <v>HUMBER &amp; N YORKSHIRE ICS</v>
      </c>
      <c r="B48" t="s">
        <v>147</v>
      </c>
      <c r="C48" t="s">
        <v>155</v>
      </c>
      <c r="D48" t="s">
        <v>156</v>
      </c>
      <c r="F48" t="s">
        <v>38</v>
      </c>
      <c r="G48" s="1">
        <v>45200</v>
      </c>
      <c r="H48" s="1">
        <v>46296</v>
      </c>
      <c r="I48" t="s">
        <v>151</v>
      </c>
      <c r="J48" t="s">
        <v>40</v>
      </c>
      <c r="K48" t="s">
        <v>40</v>
      </c>
      <c r="L48" t="s">
        <v>40</v>
      </c>
      <c r="M48" t="s">
        <v>40</v>
      </c>
      <c r="N48" t="s">
        <v>40</v>
      </c>
      <c r="O48" t="s">
        <v>40</v>
      </c>
    </row>
    <row r="49" spans="1:15" hidden="1" x14ac:dyDescent="0.25">
      <c r="A49" t="str">
        <f t="shared" si="0"/>
        <v>HUMBER &amp; N YORKSHIRE ICS</v>
      </c>
      <c r="B49" t="s">
        <v>147</v>
      </c>
      <c r="C49" t="s">
        <v>157</v>
      </c>
      <c r="D49" t="s">
        <v>158</v>
      </c>
      <c r="F49" t="s">
        <v>150</v>
      </c>
      <c r="G49" s="1">
        <v>45200</v>
      </c>
      <c r="H49" s="1">
        <v>46296</v>
      </c>
      <c r="I49" t="s">
        <v>151</v>
      </c>
      <c r="J49" t="s">
        <v>40</v>
      </c>
      <c r="K49" t="s">
        <v>40</v>
      </c>
      <c r="L49" t="s">
        <v>40</v>
      </c>
      <c r="M49" t="s">
        <v>40</v>
      </c>
      <c r="N49" t="s">
        <v>40</v>
      </c>
      <c r="O49" t="s">
        <v>40</v>
      </c>
    </row>
    <row r="50" spans="1:15" hidden="1" x14ac:dyDescent="0.25">
      <c r="A50" t="str">
        <f t="shared" si="0"/>
        <v>HUMBER &amp; N YORKSHIRE ICS</v>
      </c>
      <c r="B50" t="s">
        <v>147</v>
      </c>
      <c r="C50" t="s">
        <v>159</v>
      </c>
      <c r="D50" t="s">
        <v>160</v>
      </c>
      <c r="F50" t="s">
        <v>150</v>
      </c>
      <c r="G50" s="1">
        <v>45200</v>
      </c>
      <c r="H50" s="1">
        <v>46296</v>
      </c>
      <c r="I50" t="s">
        <v>151</v>
      </c>
      <c r="J50" t="s">
        <v>40</v>
      </c>
      <c r="K50" t="s">
        <v>40</v>
      </c>
      <c r="L50" t="s">
        <v>40</v>
      </c>
      <c r="M50" t="s">
        <v>40</v>
      </c>
      <c r="N50" t="s">
        <v>40</v>
      </c>
      <c r="O50" t="s">
        <v>40</v>
      </c>
    </row>
    <row r="51" spans="1:15" hidden="1" x14ac:dyDescent="0.25">
      <c r="A51" t="str">
        <f t="shared" si="0"/>
        <v>ISLE OF MAN</v>
      </c>
      <c r="B51" t="s">
        <v>161</v>
      </c>
      <c r="C51" t="s">
        <v>162</v>
      </c>
      <c r="D51" t="s">
        <v>70</v>
      </c>
      <c r="F51" t="s">
        <v>75</v>
      </c>
      <c r="G51" s="1">
        <v>54789</v>
      </c>
      <c r="H51" s="1">
        <v>54789</v>
      </c>
      <c r="I51" t="s">
        <v>71</v>
      </c>
      <c r="J51" t="s">
        <v>40</v>
      </c>
      <c r="K51" t="s">
        <v>40</v>
      </c>
      <c r="L51" t="s">
        <v>40</v>
      </c>
      <c r="M51" t="s">
        <v>40</v>
      </c>
      <c r="N51" t="s">
        <v>40</v>
      </c>
      <c r="O51" t="s">
        <v>40</v>
      </c>
    </row>
    <row r="52" spans="1:15" hidden="1" x14ac:dyDescent="0.25">
      <c r="A52" t="str">
        <f t="shared" si="0"/>
        <v>KENT &amp; MEDWAY ICS</v>
      </c>
      <c r="B52" t="s">
        <v>163</v>
      </c>
      <c r="C52" t="s">
        <v>164</v>
      </c>
      <c r="D52" t="s">
        <v>165</v>
      </c>
      <c r="F52" t="s">
        <v>53</v>
      </c>
      <c r="G52" s="1">
        <v>44470</v>
      </c>
      <c r="H52" s="1">
        <v>45200</v>
      </c>
      <c r="I52" t="s">
        <v>166</v>
      </c>
      <c r="J52" t="s">
        <v>30</v>
      </c>
      <c r="K52" t="s">
        <v>98</v>
      </c>
      <c r="L52" t="s">
        <v>22</v>
      </c>
      <c r="M52" t="s">
        <v>40</v>
      </c>
      <c r="N52" t="s">
        <v>40</v>
      </c>
      <c r="O52" t="s">
        <v>40</v>
      </c>
    </row>
    <row r="53" spans="1:15" hidden="1" x14ac:dyDescent="0.25">
      <c r="A53" t="str">
        <f t="shared" si="0"/>
        <v>LANCS &amp; S CUMBRIA ICS</v>
      </c>
      <c r="B53" t="s">
        <v>167</v>
      </c>
      <c r="C53" t="s">
        <v>168</v>
      </c>
      <c r="D53" t="s">
        <v>169</v>
      </c>
      <c r="F53" t="s">
        <v>75</v>
      </c>
      <c r="G53" s="1">
        <v>45689</v>
      </c>
      <c r="H53" s="1">
        <v>46784</v>
      </c>
      <c r="I53" t="s">
        <v>170</v>
      </c>
      <c r="J53" t="s">
        <v>40</v>
      </c>
      <c r="K53" t="s">
        <v>40</v>
      </c>
      <c r="L53" t="s">
        <v>40</v>
      </c>
      <c r="M53" t="s">
        <v>40</v>
      </c>
      <c r="N53" t="s">
        <v>40</v>
      </c>
      <c r="O53" t="s">
        <v>40</v>
      </c>
    </row>
    <row r="54" spans="1:15" hidden="1" x14ac:dyDescent="0.25">
      <c r="A54" t="str">
        <f t="shared" si="0"/>
        <v>LANCS &amp; S CUMBRIA ICS</v>
      </c>
      <c r="B54" t="s">
        <v>167</v>
      </c>
      <c r="C54" t="s">
        <v>171</v>
      </c>
      <c r="D54" t="s">
        <v>169</v>
      </c>
      <c r="F54" t="s">
        <v>75</v>
      </c>
      <c r="G54" s="1">
        <v>45689</v>
      </c>
      <c r="H54" s="1">
        <v>46784</v>
      </c>
      <c r="I54" t="s">
        <v>170</v>
      </c>
      <c r="J54" t="s">
        <v>40</v>
      </c>
      <c r="K54" t="s">
        <v>40</v>
      </c>
      <c r="L54" t="s">
        <v>40</v>
      </c>
      <c r="M54" t="s">
        <v>40</v>
      </c>
      <c r="N54" t="s">
        <v>40</v>
      </c>
      <c r="O54" t="s">
        <v>40</v>
      </c>
    </row>
    <row r="55" spans="1:15" hidden="1" x14ac:dyDescent="0.25">
      <c r="A55" t="str">
        <f t="shared" si="0"/>
        <v>LANCS &amp; S CUMBRIA ICS</v>
      </c>
      <c r="B55" t="s">
        <v>167</v>
      </c>
      <c r="C55" t="s">
        <v>172</v>
      </c>
      <c r="D55" t="s">
        <v>169</v>
      </c>
      <c r="F55" t="s">
        <v>75</v>
      </c>
      <c r="G55" s="1">
        <v>45689</v>
      </c>
      <c r="H55" s="1">
        <v>46784</v>
      </c>
      <c r="I55" t="s">
        <v>170</v>
      </c>
      <c r="J55" t="s">
        <v>40</v>
      </c>
      <c r="K55" t="s">
        <v>40</v>
      </c>
      <c r="L55" t="s">
        <v>40</v>
      </c>
      <c r="M55" t="s">
        <v>40</v>
      </c>
      <c r="N55" t="s">
        <v>40</v>
      </c>
      <c r="O55" t="s">
        <v>40</v>
      </c>
    </row>
    <row r="56" spans="1:15" hidden="1" x14ac:dyDescent="0.25">
      <c r="A56" t="str">
        <f t="shared" si="0"/>
        <v>LANCS &amp; S CUMBRIA ICS</v>
      </c>
      <c r="B56" t="s">
        <v>167</v>
      </c>
      <c r="C56" t="s">
        <v>173</v>
      </c>
      <c r="D56" t="s">
        <v>169</v>
      </c>
      <c r="F56" t="s">
        <v>75</v>
      </c>
      <c r="G56" s="1">
        <v>45689</v>
      </c>
      <c r="H56" s="1">
        <v>46784</v>
      </c>
      <c r="I56" t="s">
        <v>170</v>
      </c>
      <c r="J56" t="s">
        <v>40</v>
      </c>
      <c r="K56" t="s">
        <v>40</v>
      </c>
      <c r="L56" t="s">
        <v>40</v>
      </c>
      <c r="M56" t="s">
        <v>40</v>
      </c>
      <c r="N56" t="s">
        <v>40</v>
      </c>
      <c r="O56" t="s">
        <v>40</v>
      </c>
    </row>
    <row r="57" spans="1:15" hidden="1" x14ac:dyDescent="0.25">
      <c r="A57" t="str">
        <f t="shared" si="0"/>
        <v>LANCS &amp; S CUMBRIA ICS</v>
      </c>
      <c r="B57" t="s">
        <v>167</v>
      </c>
      <c r="C57" t="s">
        <v>174</v>
      </c>
      <c r="D57" t="s">
        <v>169</v>
      </c>
      <c r="F57" t="s">
        <v>75</v>
      </c>
      <c r="G57" s="1">
        <v>45689</v>
      </c>
      <c r="H57" s="1">
        <v>46784</v>
      </c>
      <c r="I57" t="s">
        <v>170</v>
      </c>
      <c r="J57" t="s">
        <v>40</v>
      </c>
      <c r="K57" t="s">
        <v>40</v>
      </c>
      <c r="L57" t="s">
        <v>40</v>
      </c>
      <c r="M57" t="s">
        <v>40</v>
      </c>
      <c r="N57" t="s">
        <v>40</v>
      </c>
      <c r="O57" t="s">
        <v>40</v>
      </c>
    </row>
    <row r="58" spans="1:15" hidden="1" x14ac:dyDescent="0.25">
      <c r="A58" t="str">
        <f t="shared" si="0"/>
        <v>LANCS &amp; S CUMBRIA ICS</v>
      </c>
      <c r="B58" t="s">
        <v>167</v>
      </c>
      <c r="C58" t="s">
        <v>175</v>
      </c>
      <c r="D58" t="s">
        <v>169</v>
      </c>
      <c r="F58" t="s">
        <v>75</v>
      </c>
      <c r="G58" s="1">
        <v>45689</v>
      </c>
      <c r="H58" s="1">
        <v>46784</v>
      </c>
      <c r="I58" t="s">
        <v>170</v>
      </c>
      <c r="J58" t="s">
        <v>40</v>
      </c>
      <c r="K58" t="s">
        <v>40</v>
      </c>
      <c r="L58" t="s">
        <v>40</v>
      </c>
      <c r="M58" t="s">
        <v>40</v>
      </c>
      <c r="N58" t="s">
        <v>40</v>
      </c>
      <c r="O58" t="s">
        <v>40</v>
      </c>
    </row>
    <row r="59" spans="1:15" hidden="1" x14ac:dyDescent="0.25">
      <c r="A59" t="str">
        <f t="shared" si="0"/>
        <v>LANCS &amp; S CUMBRIA ICS</v>
      </c>
      <c r="B59" t="s">
        <v>167</v>
      </c>
      <c r="C59" t="s">
        <v>176</v>
      </c>
      <c r="D59" t="s">
        <v>169</v>
      </c>
      <c r="F59" t="s">
        <v>75</v>
      </c>
      <c r="G59" s="1">
        <v>45689</v>
      </c>
      <c r="H59" s="1">
        <v>46784</v>
      </c>
      <c r="I59" t="s">
        <v>170</v>
      </c>
      <c r="J59" t="s">
        <v>40</v>
      </c>
      <c r="K59" t="s">
        <v>40</v>
      </c>
      <c r="L59" t="s">
        <v>40</v>
      </c>
      <c r="M59" t="s">
        <v>40</v>
      </c>
      <c r="N59" t="s">
        <v>40</v>
      </c>
      <c r="O59" t="s">
        <v>40</v>
      </c>
    </row>
    <row r="60" spans="1:15" hidden="1" x14ac:dyDescent="0.25">
      <c r="A60" t="str">
        <f t="shared" si="0"/>
        <v>LANCS &amp; S CUMBRIA ICS</v>
      </c>
      <c r="B60" t="s">
        <v>167</v>
      </c>
      <c r="C60" t="s">
        <v>177</v>
      </c>
      <c r="D60" t="s">
        <v>169</v>
      </c>
      <c r="F60" t="s">
        <v>75</v>
      </c>
      <c r="G60" s="1">
        <v>45689</v>
      </c>
      <c r="H60" s="1">
        <v>46784</v>
      </c>
      <c r="I60" t="s">
        <v>170</v>
      </c>
      <c r="J60" t="s">
        <v>40</v>
      </c>
      <c r="K60" t="s">
        <v>40</v>
      </c>
      <c r="L60" t="s">
        <v>40</v>
      </c>
      <c r="M60" t="s">
        <v>40</v>
      </c>
      <c r="N60" t="s">
        <v>40</v>
      </c>
      <c r="O60" t="s">
        <v>40</v>
      </c>
    </row>
    <row r="61" spans="1:15" hidden="1" x14ac:dyDescent="0.25">
      <c r="A61" t="str">
        <f t="shared" si="0"/>
        <v>LEICS LEICSTSH &amp; RUT ICS</v>
      </c>
      <c r="B61" t="s">
        <v>178</v>
      </c>
      <c r="C61" t="s">
        <v>179</v>
      </c>
      <c r="D61" t="s">
        <v>180</v>
      </c>
      <c r="F61" t="s">
        <v>38</v>
      </c>
      <c r="G61" s="1">
        <v>45047</v>
      </c>
      <c r="H61" s="1">
        <v>46143</v>
      </c>
      <c r="I61" t="s">
        <v>181</v>
      </c>
      <c r="J61" t="s">
        <v>30</v>
      </c>
      <c r="K61" t="s">
        <v>98</v>
      </c>
      <c r="L61" t="s">
        <v>68</v>
      </c>
      <c r="M61" t="s">
        <v>30</v>
      </c>
      <c r="N61" t="s">
        <v>34</v>
      </c>
      <c r="O61" t="s">
        <v>68</v>
      </c>
    </row>
    <row r="62" spans="1:15" hidden="1" x14ac:dyDescent="0.25">
      <c r="A62" t="str">
        <f t="shared" si="0"/>
        <v>LEICS LEICSTSH &amp; RUT ICS</v>
      </c>
      <c r="B62" t="s">
        <v>178</v>
      </c>
      <c r="C62" t="s">
        <v>182</v>
      </c>
      <c r="D62" t="s">
        <v>68</v>
      </c>
      <c r="F62" t="s">
        <v>38</v>
      </c>
      <c r="G62" s="1">
        <v>45047</v>
      </c>
      <c r="H62" s="1">
        <v>46143</v>
      </c>
      <c r="I62" t="s">
        <v>181</v>
      </c>
      <c r="J62" t="s">
        <v>30</v>
      </c>
      <c r="K62" t="s">
        <v>98</v>
      </c>
      <c r="L62" t="s">
        <v>68</v>
      </c>
      <c r="M62" t="s">
        <v>30</v>
      </c>
      <c r="N62" t="s">
        <v>34</v>
      </c>
      <c r="O62" t="s">
        <v>68</v>
      </c>
    </row>
    <row r="63" spans="1:15" hidden="1" x14ac:dyDescent="0.25">
      <c r="A63" t="str">
        <f t="shared" si="0"/>
        <v>LEICS LEICSTSH &amp; RUT ICS</v>
      </c>
      <c r="B63" t="s">
        <v>178</v>
      </c>
      <c r="C63" t="s">
        <v>183</v>
      </c>
      <c r="D63" t="s">
        <v>68</v>
      </c>
      <c r="F63" t="s">
        <v>38</v>
      </c>
      <c r="G63" s="1">
        <v>45047</v>
      </c>
      <c r="H63" s="1">
        <v>46143</v>
      </c>
      <c r="I63" t="s">
        <v>181</v>
      </c>
      <c r="J63" t="s">
        <v>30</v>
      </c>
      <c r="K63" t="s">
        <v>98</v>
      </c>
      <c r="L63" t="s">
        <v>68</v>
      </c>
      <c r="M63" t="s">
        <v>30</v>
      </c>
      <c r="N63" t="s">
        <v>34</v>
      </c>
      <c r="O63" t="s">
        <v>68</v>
      </c>
    </row>
    <row r="64" spans="1:15" hidden="1" x14ac:dyDescent="0.25">
      <c r="A64" t="str">
        <f t="shared" si="0"/>
        <v>LINCOLNSHIRE ICS</v>
      </c>
      <c r="B64" t="s">
        <v>184</v>
      </c>
      <c r="C64" t="s">
        <v>185</v>
      </c>
      <c r="D64" t="s">
        <v>156</v>
      </c>
      <c r="F64" t="s">
        <v>38</v>
      </c>
      <c r="G64" s="1">
        <v>45292</v>
      </c>
      <c r="H64" s="1">
        <v>47119</v>
      </c>
      <c r="I64" t="s">
        <v>186</v>
      </c>
      <c r="J64" t="s">
        <v>20</v>
      </c>
      <c r="K64" t="s">
        <v>21</v>
      </c>
      <c r="L64" t="s">
        <v>116</v>
      </c>
      <c r="M64" t="s">
        <v>20</v>
      </c>
      <c r="N64" t="s">
        <v>23</v>
      </c>
      <c r="O64" t="s">
        <v>118</v>
      </c>
    </row>
    <row r="65" spans="1:15" hidden="1" x14ac:dyDescent="0.25">
      <c r="A65" t="str">
        <f t="shared" si="0"/>
        <v>MID &amp; SOUTH ESSEX ICS</v>
      </c>
      <c r="B65" t="s">
        <v>187</v>
      </c>
      <c r="C65" t="s">
        <v>188</v>
      </c>
      <c r="D65" t="s">
        <v>189</v>
      </c>
      <c r="F65" t="s">
        <v>28</v>
      </c>
      <c r="G65" s="1">
        <v>45292</v>
      </c>
      <c r="H65" s="1">
        <v>47119</v>
      </c>
      <c r="I65" t="s">
        <v>186</v>
      </c>
      <c r="J65" t="s">
        <v>20</v>
      </c>
      <c r="K65" t="s">
        <v>21</v>
      </c>
      <c r="L65" t="s">
        <v>116</v>
      </c>
      <c r="M65" t="s">
        <v>20</v>
      </c>
      <c r="N65" t="s">
        <v>23</v>
      </c>
      <c r="O65" t="s">
        <v>118</v>
      </c>
    </row>
    <row r="66" spans="1:15" hidden="1" x14ac:dyDescent="0.25">
      <c r="A66" t="str">
        <f t="shared" ref="A66:A129" si="1">IF(B66 = "NORTHERN IRELAND HSCB", C66, IF(B66 = "WELSH ASSEMBLY", C66, B66))</f>
        <v>MID &amp; SOUTH ESSEX ICS</v>
      </c>
      <c r="B66" t="s">
        <v>187</v>
      </c>
      <c r="C66" t="s">
        <v>190</v>
      </c>
      <c r="D66" t="s">
        <v>189</v>
      </c>
      <c r="F66" t="s">
        <v>28</v>
      </c>
      <c r="G66" s="1">
        <v>45292</v>
      </c>
      <c r="H66" s="1">
        <v>47119</v>
      </c>
      <c r="I66" t="s">
        <v>186</v>
      </c>
      <c r="J66" t="s">
        <v>20</v>
      </c>
      <c r="K66" t="s">
        <v>21</v>
      </c>
      <c r="L66" t="s">
        <v>116</v>
      </c>
      <c r="M66" t="s">
        <v>20</v>
      </c>
      <c r="N66" t="s">
        <v>23</v>
      </c>
      <c r="O66" t="s">
        <v>118</v>
      </c>
    </row>
    <row r="67" spans="1:15" hidden="1" x14ac:dyDescent="0.25">
      <c r="A67" t="str">
        <f t="shared" si="1"/>
        <v>MID &amp; SOUTH ESSEX ICS</v>
      </c>
      <c r="B67" t="s">
        <v>187</v>
      </c>
      <c r="C67" t="s">
        <v>191</v>
      </c>
      <c r="D67" t="s">
        <v>189</v>
      </c>
      <c r="F67" t="s">
        <v>28</v>
      </c>
      <c r="G67" s="1">
        <v>45292</v>
      </c>
      <c r="H67" s="1">
        <v>47119</v>
      </c>
      <c r="I67" t="s">
        <v>186</v>
      </c>
      <c r="J67" t="s">
        <v>20</v>
      </c>
      <c r="K67" t="s">
        <v>21</v>
      </c>
      <c r="L67" t="s">
        <v>116</v>
      </c>
      <c r="M67" t="s">
        <v>20</v>
      </c>
      <c r="N67" t="s">
        <v>23</v>
      </c>
      <c r="O67" t="s">
        <v>118</v>
      </c>
    </row>
    <row r="68" spans="1:15" hidden="1" x14ac:dyDescent="0.25">
      <c r="A68" t="str">
        <f t="shared" si="1"/>
        <v>MID &amp; SOUTH ESSEX ICS</v>
      </c>
      <c r="B68" t="s">
        <v>187</v>
      </c>
      <c r="C68" t="s">
        <v>192</v>
      </c>
      <c r="D68" t="s">
        <v>189</v>
      </c>
      <c r="F68" t="s">
        <v>28</v>
      </c>
      <c r="G68" s="1">
        <v>45292</v>
      </c>
      <c r="H68" s="1">
        <v>47119</v>
      </c>
      <c r="I68" t="s">
        <v>186</v>
      </c>
      <c r="J68" t="s">
        <v>20</v>
      </c>
      <c r="K68" t="s">
        <v>21</v>
      </c>
      <c r="L68" t="s">
        <v>116</v>
      </c>
      <c r="M68" t="s">
        <v>20</v>
      </c>
      <c r="N68" t="s">
        <v>23</v>
      </c>
      <c r="O68" t="s">
        <v>118</v>
      </c>
    </row>
    <row r="69" spans="1:15" hidden="1" x14ac:dyDescent="0.25">
      <c r="A69" t="str">
        <f t="shared" si="1"/>
        <v>MID &amp; SOUTH ESSEX ICS</v>
      </c>
      <c r="B69" t="s">
        <v>187</v>
      </c>
      <c r="C69" t="s">
        <v>193</v>
      </c>
      <c r="D69" t="s">
        <v>189</v>
      </c>
      <c r="F69" t="s">
        <v>28</v>
      </c>
      <c r="G69" s="1">
        <v>45292</v>
      </c>
      <c r="H69" s="1">
        <v>47119</v>
      </c>
      <c r="I69" t="s">
        <v>186</v>
      </c>
      <c r="J69" t="s">
        <v>20</v>
      </c>
      <c r="K69" t="s">
        <v>21</v>
      </c>
      <c r="L69" t="s">
        <v>116</v>
      </c>
      <c r="M69" t="s">
        <v>20</v>
      </c>
      <c r="N69" t="s">
        <v>23</v>
      </c>
      <c r="O69" t="s">
        <v>118</v>
      </c>
    </row>
    <row r="70" spans="1:15" hidden="1" x14ac:dyDescent="0.25">
      <c r="A70" t="str">
        <f t="shared" si="1"/>
        <v>N EAST &amp; N CUMBRIA ICS</v>
      </c>
      <c r="B70" t="s">
        <v>194</v>
      </c>
      <c r="C70" t="s">
        <v>195</v>
      </c>
      <c r="D70" t="s">
        <v>196</v>
      </c>
      <c r="E70" t="s">
        <v>197</v>
      </c>
      <c r="F70" t="s">
        <v>150</v>
      </c>
      <c r="G70" s="1">
        <v>45701</v>
      </c>
      <c r="H70" s="1">
        <v>46431</v>
      </c>
      <c r="I70" t="s">
        <v>198</v>
      </c>
      <c r="J70" t="s">
        <v>40</v>
      </c>
      <c r="K70" t="s">
        <v>40</v>
      </c>
      <c r="L70" t="s">
        <v>40</v>
      </c>
      <c r="M70" t="s">
        <v>40</v>
      </c>
      <c r="N70" t="s">
        <v>40</v>
      </c>
      <c r="O70" t="s">
        <v>40</v>
      </c>
    </row>
    <row r="71" spans="1:15" hidden="1" x14ac:dyDescent="0.25">
      <c r="A71" t="str">
        <f t="shared" si="1"/>
        <v>N EAST &amp; N CUMBRIA ICS</v>
      </c>
      <c r="B71" t="s">
        <v>194</v>
      </c>
      <c r="C71" t="s">
        <v>199</v>
      </c>
      <c r="D71" t="s">
        <v>196</v>
      </c>
      <c r="E71" t="s">
        <v>197</v>
      </c>
      <c r="F71" t="s">
        <v>150</v>
      </c>
      <c r="G71" s="1">
        <v>45701</v>
      </c>
      <c r="H71" s="1">
        <v>46431</v>
      </c>
      <c r="I71" t="s">
        <v>198</v>
      </c>
      <c r="J71" t="s">
        <v>40</v>
      </c>
      <c r="K71" t="s">
        <v>40</v>
      </c>
      <c r="L71" t="s">
        <v>40</v>
      </c>
      <c r="M71" t="s">
        <v>40</v>
      </c>
      <c r="N71" t="s">
        <v>40</v>
      </c>
      <c r="O71" t="s">
        <v>40</v>
      </c>
    </row>
    <row r="72" spans="1:15" hidden="1" x14ac:dyDescent="0.25">
      <c r="A72" t="str">
        <f t="shared" si="1"/>
        <v>N EAST &amp; N CUMBRIA ICS</v>
      </c>
      <c r="B72" t="s">
        <v>194</v>
      </c>
      <c r="C72" t="s">
        <v>200</v>
      </c>
      <c r="D72" t="s">
        <v>196</v>
      </c>
      <c r="E72" t="s">
        <v>197</v>
      </c>
      <c r="F72" t="s">
        <v>150</v>
      </c>
      <c r="G72" s="1">
        <v>45701</v>
      </c>
      <c r="H72" s="1">
        <v>46431</v>
      </c>
      <c r="I72" t="s">
        <v>198</v>
      </c>
      <c r="J72" t="s">
        <v>40</v>
      </c>
      <c r="K72" t="s">
        <v>40</v>
      </c>
      <c r="L72" t="s">
        <v>40</v>
      </c>
      <c r="M72" t="s">
        <v>40</v>
      </c>
      <c r="N72" t="s">
        <v>40</v>
      </c>
      <c r="O72" t="s">
        <v>40</v>
      </c>
    </row>
    <row r="73" spans="1:15" hidden="1" x14ac:dyDescent="0.25">
      <c r="A73" t="str">
        <f t="shared" si="1"/>
        <v>N EAST &amp; N CUMBRIA ICS</v>
      </c>
      <c r="B73" t="s">
        <v>194</v>
      </c>
      <c r="C73" t="s">
        <v>201</v>
      </c>
      <c r="D73" t="s">
        <v>196</v>
      </c>
      <c r="E73" t="s">
        <v>197</v>
      </c>
      <c r="F73" t="s">
        <v>150</v>
      </c>
      <c r="G73" s="1">
        <v>45701</v>
      </c>
      <c r="H73" s="1">
        <v>46431</v>
      </c>
      <c r="I73" t="s">
        <v>198</v>
      </c>
      <c r="J73" t="s">
        <v>40</v>
      </c>
      <c r="K73" t="s">
        <v>40</v>
      </c>
      <c r="L73" t="s">
        <v>40</v>
      </c>
      <c r="M73" t="s">
        <v>40</v>
      </c>
      <c r="N73" t="s">
        <v>40</v>
      </c>
      <c r="O73" t="s">
        <v>40</v>
      </c>
    </row>
    <row r="74" spans="1:15" hidden="1" x14ac:dyDescent="0.25">
      <c r="A74" t="str">
        <f t="shared" si="1"/>
        <v>N EAST &amp; N CUMBRIA ICS</v>
      </c>
      <c r="B74" t="s">
        <v>194</v>
      </c>
      <c r="C74" t="s">
        <v>202</v>
      </c>
      <c r="D74" t="s">
        <v>196</v>
      </c>
      <c r="E74" t="s">
        <v>197</v>
      </c>
      <c r="F74" t="s">
        <v>150</v>
      </c>
      <c r="G74" s="1">
        <v>45701</v>
      </c>
      <c r="H74" s="1">
        <v>46431</v>
      </c>
      <c r="I74" t="s">
        <v>198</v>
      </c>
      <c r="J74" t="s">
        <v>40</v>
      </c>
      <c r="K74" t="s">
        <v>40</v>
      </c>
      <c r="L74" t="s">
        <v>40</v>
      </c>
      <c r="M74" t="s">
        <v>40</v>
      </c>
      <c r="N74" t="s">
        <v>40</v>
      </c>
      <c r="O74" t="s">
        <v>40</v>
      </c>
    </row>
    <row r="75" spans="1:15" hidden="1" x14ac:dyDescent="0.25">
      <c r="A75" t="str">
        <f t="shared" si="1"/>
        <v>N EAST &amp; N CUMBRIA ICS</v>
      </c>
      <c r="B75" t="s">
        <v>194</v>
      </c>
      <c r="C75" t="s">
        <v>203</v>
      </c>
      <c r="D75" t="s">
        <v>196</v>
      </c>
      <c r="E75" t="s">
        <v>197</v>
      </c>
      <c r="F75" t="s">
        <v>150</v>
      </c>
      <c r="G75" s="1">
        <v>45701</v>
      </c>
      <c r="H75" s="1">
        <v>46431</v>
      </c>
      <c r="I75" t="s">
        <v>198</v>
      </c>
      <c r="J75" t="s">
        <v>40</v>
      </c>
      <c r="K75" t="s">
        <v>40</v>
      </c>
      <c r="L75" t="s">
        <v>40</v>
      </c>
      <c r="M75" t="s">
        <v>40</v>
      </c>
      <c r="N75" t="s">
        <v>40</v>
      </c>
      <c r="O75" t="s">
        <v>40</v>
      </c>
    </row>
    <row r="76" spans="1:15" hidden="1" x14ac:dyDescent="0.25">
      <c r="A76" t="str">
        <f t="shared" si="1"/>
        <v>N EAST &amp; N CUMBRIA ICS</v>
      </c>
      <c r="B76" t="s">
        <v>194</v>
      </c>
      <c r="C76" t="s">
        <v>204</v>
      </c>
      <c r="D76" t="s">
        <v>196</v>
      </c>
      <c r="E76" t="s">
        <v>197</v>
      </c>
      <c r="F76" t="s">
        <v>150</v>
      </c>
      <c r="G76" s="1">
        <v>45701</v>
      </c>
      <c r="H76" s="1">
        <v>46431</v>
      </c>
      <c r="I76" t="s">
        <v>198</v>
      </c>
      <c r="J76" t="s">
        <v>40</v>
      </c>
      <c r="K76" t="s">
        <v>40</v>
      </c>
      <c r="L76" t="s">
        <v>40</v>
      </c>
      <c r="M76" t="s">
        <v>40</v>
      </c>
      <c r="N76" t="s">
        <v>40</v>
      </c>
      <c r="O76" t="s">
        <v>40</v>
      </c>
    </row>
    <row r="77" spans="1:15" hidden="1" x14ac:dyDescent="0.25">
      <c r="A77" t="str">
        <f t="shared" si="1"/>
        <v>N EAST &amp; N CUMBRIA ICS</v>
      </c>
      <c r="B77" t="s">
        <v>194</v>
      </c>
      <c r="C77" t="s">
        <v>205</v>
      </c>
      <c r="D77" t="s">
        <v>196</v>
      </c>
      <c r="E77" t="s">
        <v>197</v>
      </c>
      <c r="F77" t="s">
        <v>150</v>
      </c>
      <c r="G77" s="1">
        <v>45701</v>
      </c>
      <c r="H77" s="1">
        <v>46431</v>
      </c>
      <c r="I77" t="s">
        <v>198</v>
      </c>
      <c r="J77" t="s">
        <v>40</v>
      </c>
      <c r="K77" t="s">
        <v>40</v>
      </c>
      <c r="L77" t="s">
        <v>40</v>
      </c>
      <c r="M77" t="s">
        <v>40</v>
      </c>
      <c r="N77" t="s">
        <v>40</v>
      </c>
      <c r="O77" t="s">
        <v>40</v>
      </c>
    </row>
    <row r="78" spans="1:15" hidden="1" x14ac:dyDescent="0.25">
      <c r="A78" t="str">
        <f t="shared" si="1"/>
        <v>NHS AYRSHIRE &amp; ARRAN</v>
      </c>
      <c r="B78" t="s">
        <v>206</v>
      </c>
      <c r="C78" t="s">
        <v>206</v>
      </c>
      <c r="D78" t="s">
        <v>70</v>
      </c>
      <c r="F78" t="s">
        <v>207</v>
      </c>
      <c r="G78" s="1">
        <v>54789</v>
      </c>
      <c r="H78" s="1">
        <v>54789</v>
      </c>
      <c r="I78" t="s">
        <v>71</v>
      </c>
      <c r="J78" t="s">
        <v>40</v>
      </c>
      <c r="K78" t="s">
        <v>40</v>
      </c>
      <c r="L78" t="s">
        <v>40</v>
      </c>
      <c r="M78" t="s">
        <v>40</v>
      </c>
      <c r="N78" t="s">
        <v>40</v>
      </c>
      <c r="O78" t="s">
        <v>40</v>
      </c>
    </row>
    <row r="79" spans="1:15" hidden="1" x14ac:dyDescent="0.25">
      <c r="A79" t="str">
        <f t="shared" si="1"/>
        <v>NHS BORDERS</v>
      </c>
      <c r="B79" t="s">
        <v>208</v>
      </c>
      <c r="C79" t="s">
        <v>208</v>
      </c>
      <c r="D79" t="s">
        <v>70</v>
      </c>
      <c r="F79" t="s">
        <v>207</v>
      </c>
      <c r="G79" s="1">
        <v>54789</v>
      </c>
      <c r="H79" s="1">
        <v>54789</v>
      </c>
      <c r="I79" t="s">
        <v>71</v>
      </c>
      <c r="J79" t="s">
        <v>40</v>
      </c>
      <c r="K79" t="s">
        <v>40</v>
      </c>
      <c r="L79" t="s">
        <v>40</v>
      </c>
      <c r="M79" t="s">
        <v>40</v>
      </c>
      <c r="N79" t="s">
        <v>40</v>
      </c>
      <c r="O79" t="s">
        <v>40</v>
      </c>
    </row>
    <row r="80" spans="1:15" hidden="1" x14ac:dyDescent="0.25">
      <c r="A80" t="str">
        <f t="shared" si="1"/>
        <v>NHS DUMFRIES &amp; GALLOWAY</v>
      </c>
      <c r="B80" t="s">
        <v>209</v>
      </c>
      <c r="C80" t="s">
        <v>209</v>
      </c>
      <c r="D80" t="s">
        <v>210</v>
      </c>
      <c r="F80" t="s">
        <v>207</v>
      </c>
      <c r="G80" s="1">
        <v>45478</v>
      </c>
      <c r="H80" s="1">
        <v>46208</v>
      </c>
      <c r="I80" s="2" t="s">
        <v>211</v>
      </c>
      <c r="J80" t="s">
        <v>20</v>
      </c>
      <c r="K80" t="s">
        <v>22</v>
      </c>
      <c r="L80" t="s">
        <v>21</v>
      </c>
      <c r="M80" t="s">
        <v>20</v>
      </c>
      <c r="N80" t="s">
        <v>144</v>
      </c>
      <c r="O80" t="s">
        <v>23</v>
      </c>
    </row>
    <row r="81" spans="1:15" hidden="1" x14ac:dyDescent="0.25">
      <c r="A81" t="str">
        <f t="shared" si="1"/>
        <v>NHS FIFE</v>
      </c>
      <c r="B81" t="s">
        <v>212</v>
      </c>
      <c r="C81" t="s">
        <v>212</v>
      </c>
      <c r="D81" t="s">
        <v>213</v>
      </c>
      <c r="F81" t="s">
        <v>207</v>
      </c>
      <c r="G81" s="1">
        <v>54789</v>
      </c>
      <c r="H81" s="1">
        <v>54789</v>
      </c>
      <c r="I81" t="s">
        <v>68</v>
      </c>
      <c r="J81" t="s">
        <v>40</v>
      </c>
      <c r="K81" t="s">
        <v>40</v>
      </c>
      <c r="L81" t="s">
        <v>40</v>
      </c>
      <c r="M81" t="s">
        <v>40</v>
      </c>
      <c r="N81" t="s">
        <v>40</v>
      </c>
      <c r="O81" t="s">
        <v>40</v>
      </c>
    </row>
    <row r="82" spans="1:15" hidden="1" x14ac:dyDescent="0.25">
      <c r="A82" t="str">
        <f t="shared" si="1"/>
        <v>NHS FORTH VALLEY</v>
      </c>
      <c r="B82" t="s">
        <v>214</v>
      </c>
      <c r="C82" t="s">
        <v>214</v>
      </c>
      <c r="D82" t="s">
        <v>215</v>
      </c>
      <c r="E82" t="s">
        <v>216</v>
      </c>
      <c r="F82" t="s">
        <v>207</v>
      </c>
      <c r="G82" s="1">
        <v>45274</v>
      </c>
      <c r="H82" s="1">
        <v>46005</v>
      </c>
      <c r="I82" t="s">
        <v>217</v>
      </c>
      <c r="J82" t="s">
        <v>20</v>
      </c>
      <c r="K82" t="s">
        <v>22</v>
      </c>
      <c r="L82" t="s">
        <v>32</v>
      </c>
      <c r="M82" t="s">
        <v>20</v>
      </c>
      <c r="N82" t="s">
        <v>144</v>
      </c>
      <c r="O82" t="s">
        <v>23</v>
      </c>
    </row>
    <row r="83" spans="1:15" x14ac:dyDescent="0.25">
      <c r="A83" t="str">
        <f t="shared" si="1"/>
        <v>NHS GRAMPIAN</v>
      </c>
      <c r="B83" t="s">
        <v>218</v>
      </c>
      <c r="C83" t="s">
        <v>218</v>
      </c>
      <c r="D83" t="s">
        <v>219</v>
      </c>
      <c r="E83" t="s">
        <v>220</v>
      </c>
      <c r="F83" t="s">
        <v>207</v>
      </c>
      <c r="G83" s="1">
        <v>54789</v>
      </c>
      <c r="H83" s="1">
        <v>54789</v>
      </c>
      <c r="I83" t="s">
        <v>221</v>
      </c>
      <c r="J83" t="s">
        <v>20</v>
      </c>
      <c r="K83" t="s">
        <v>32</v>
      </c>
      <c r="L83" t="s">
        <v>22</v>
      </c>
      <c r="M83" t="s">
        <v>20</v>
      </c>
      <c r="N83" t="s">
        <v>23</v>
      </c>
      <c r="O83" t="s">
        <v>144</v>
      </c>
    </row>
    <row r="84" spans="1:15" hidden="1" x14ac:dyDescent="0.25">
      <c r="A84" t="str">
        <f t="shared" si="1"/>
        <v>NHS GTR GLASGOW &amp; CLYDE</v>
      </c>
      <c r="B84" t="s">
        <v>222</v>
      </c>
      <c r="C84" t="s">
        <v>222</v>
      </c>
      <c r="D84" t="s">
        <v>223</v>
      </c>
      <c r="E84" t="s">
        <v>224</v>
      </c>
      <c r="F84" t="s">
        <v>207</v>
      </c>
      <c r="G84" s="1">
        <v>44621</v>
      </c>
      <c r="H84" s="1">
        <v>54789</v>
      </c>
      <c r="I84" t="s">
        <v>217</v>
      </c>
      <c r="J84" t="s">
        <v>20</v>
      </c>
      <c r="K84" t="s">
        <v>22</v>
      </c>
      <c r="L84" t="s">
        <v>64</v>
      </c>
      <c r="M84" t="s">
        <v>40</v>
      </c>
      <c r="N84" t="s">
        <v>40</v>
      </c>
      <c r="O84" t="s">
        <v>40</v>
      </c>
    </row>
    <row r="85" spans="1:15" hidden="1" x14ac:dyDescent="0.25">
      <c r="A85" t="str">
        <f t="shared" si="1"/>
        <v>NHS HIGHLAND</v>
      </c>
      <c r="B85" t="s">
        <v>225</v>
      </c>
      <c r="C85" t="s">
        <v>225</v>
      </c>
      <c r="D85" t="s">
        <v>226</v>
      </c>
      <c r="E85" t="s">
        <v>227</v>
      </c>
      <c r="F85" t="s">
        <v>207</v>
      </c>
      <c r="G85" s="1">
        <v>54789</v>
      </c>
      <c r="H85" s="1">
        <v>54789</v>
      </c>
      <c r="I85" t="s">
        <v>217</v>
      </c>
      <c r="J85" t="s">
        <v>40</v>
      </c>
      <c r="K85" t="s">
        <v>40</v>
      </c>
      <c r="L85" t="s">
        <v>40</v>
      </c>
      <c r="M85" t="s">
        <v>40</v>
      </c>
      <c r="N85" t="s">
        <v>40</v>
      </c>
      <c r="O85" t="s">
        <v>40</v>
      </c>
    </row>
    <row r="86" spans="1:15" hidden="1" x14ac:dyDescent="0.25">
      <c r="A86" t="str">
        <f t="shared" si="1"/>
        <v>NHS LANARKSHIRE</v>
      </c>
      <c r="B86" t="s">
        <v>228</v>
      </c>
      <c r="C86" t="s">
        <v>228</v>
      </c>
      <c r="D86" t="s">
        <v>229</v>
      </c>
      <c r="E86" t="s">
        <v>230</v>
      </c>
      <c r="F86" t="s">
        <v>207</v>
      </c>
      <c r="G86" s="1">
        <v>44348</v>
      </c>
      <c r="H86" s="1">
        <v>45078</v>
      </c>
      <c r="I86" t="s">
        <v>230</v>
      </c>
      <c r="J86" t="s">
        <v>40</v>
      </c>
      <c r="K86" t="s">
        <v>40</v>
      </c>
      <c r="L86" t="s">
        <v>40</v>
      </c>
      <c r="M86" t="s">
        <v>40</v>
      </c>
      <c r="N86" t="s">
        <v>40</v>
      </c>
      <c r="O86" t="s">
        <v>40</v>
      </c>
    </row>
    <row r="87" spans="1:15" hidden="1" x14ac:dyDescent="0.25">
      <c r="A87" t="str">
        <f t="shared" si="1"/>
        <v>NHS LOTHIAN</v>
      </c>
      <c r="B87" t="s">
        <v>231</v>
      </c>
      <c r="C87" t="s">
        <v>231</v>
      </c>
      <c r="D87" t="s">
        <v>232</v>
      </c>
      <c r="E87" t="s">
        <v>233</v>
      </c>
      <c r="F87" t="s">
        <v>207</v>
      </c>
      <c r="G87" s="1">
        <v>54789</v>
      </c>
      <c r="H87" s="1">
        <v>54789</v>
      </c>
      <c r="I87" t="s">
        <v>217</v>
      </c>
      <c r="J87" t="s">
        <v>40</v>
      </c>
      <c r="K87" t="s">
        <v>40</v>
      </c>
      <c r="L87" t="s">
        <v>40</v>
      </c>
      <c r="M87" t="s">
        <v>40</v>
      </c>
      <c r="N87" t="s">
        <v>40</v>
      </c>
      <c r="O87" t="s">
        <v>40</v>
      </c>
    </row>
    <row r="88" spans="1:15" hidden="1" x14ac:dyDescent="0.25">
      <c r="A88" t="str">
        <f t="shared" si="1"/>
        <v>NHS ORKNEY</v>
      </c>
      <c r="B88" t="s">
        <v>234</v>
      </c>
      <c r="C88" t="s">
        <v>234</v>
      </c>
      <c r="D88" t="s">
        <v>70</v>
      </c>
      <c r="F88" t="s">
        <v>207</v>
      </c>
      <c r="G88" s="1">
        <v>54789</v>
      </c>
      <c r="H88" s="1">
        <v>54789</v>
      </c>
      <c r="I88" t="s">
        <v>71</v>
      </c>
      <c r="J88" t="s">
        <v>40</v>
      </c>
      <c r="K88" t="s">
        <v>40</v>
      </c>
      <c r="L88" t="s">
        <v>40</v>
      </c>
      <c r="M88" t="s">
        <v>40</v>
      </c>
      <c r="N88" t="s">
        <v>40</v>
      </c>
      <c r="O88" t="s">
        <v>40</v>
      </c>
    </row>
    <row r="89" spans="1:15" hidden="1" x14ac:dyDescent="0.25">
      <c r="A89" t="str">
        <f t="shared" si="1"/>
        <v>NHS SHETLAND</v>
      </c>
      <c r="B89" t="s">
        <v>235</v>
      </c>
      <c r="C89" t="s">
        <v>235</v>
      </c>
      <c r="D89" t="s">
        <v>70</v>
      </c>
      <c r="F89" t="s">
        <v>207</v>
      </c>
      <c r="G89" s="1">
        <v>54789</v>
      </c>
      <c r="H89" s="1">
        <v>54789</v>
      </c>
      <c r="I89" t="s">
        <v>71</v>
      </c>
      <c r="J89" t="s">
        <v>40</v>
      </c>
      <c r="K89" t="s">
        <v>40</v>
      </c>
      <c r="L89" t="s">
        <v>40</v>
      </c>
      <c r="M89" t="s">
        <v>40</v>
      </c>
      <c r="N89" t="s">
        <v>40</v>
      </c>
      <c r="O89" t="s">
        <v>40</v>
      </c>
    </row>
    <row r="90" spans="1:15" hidden="1" x14ac:dyDescent="0.25">
      <c r="A90" t="str">
        <f t="shared" si="1"/>
        <v>NHS TAYSIDE</v>
      </c>
      <c r="B90" t="s">
        <v>236</v>
      </c>
      <c r="C90" t="s">
        <v>236</v>
      </c>
      <c r="D90" t="s">
        <v>237</v>
      </c>
      <c r="E90" t="s">
        <v>238</v>
      </c>
      <c r="F90" t="s">
        <v>207</v>
      </c>
      <c r="G90" s="1">
        <v>54789</v>
      </c>
      <c r="H90" s="1">
        <v>54789</v>
      </c>
      <c r="I90" t="s">
        <v>217</v>
      </c>
      <c r="J90" t="s">
        <v>40</v>
      </c>
      <c r="K90" t="s">
        <v>40</v>
      </c>
      <c r="L90" t="s">
        <v>40</v>
      </c>
      <c r="M90" t="s">
        <v>40</v>
      </c>
      <c r="N90" t="s">
        <v>40</v>
      </c>
      <c r="O90" t="s">
        <v>40</v>
      </c>
    </row>
    <row r="91" spans="1:15" hidden="1" x14ac:dyDescent="0.25">
      <c r="A91" t="str">
        <f t="shared" si="1"/>
        <v>NHS WESTERN ISLES</v>
      </c>
      <c r="B91" t="s">
        <v>239</v>
      </c>
      <c r="C91" t="s">
        <v>239</v>
      </c>
      <c r="D91" t="s">
        <v>70</v>
      </c>
      <c r="F91" t="s">
        <v>207</v>
      </c>
      <c r="G91" s="1">
        <v>54789</v>
      </c>
      <c r="H91" s="1">
        <v>54789</v>
      </c>
      <c r="I91" t="s">
        <v>71</v>
      </c>
      <c r="J91" t="s">
        <v>40</v>
      </c>
      <c r="K91" t="s">
        <v>40</v>
      </c>
      <c r="L91" t="s">
        <v>40</v>
      </c>
      <c r="M91" t="s">
        <v>40</v>
      </c>
      <c r="N91" t="s">
        <v>40</v>
      </c>
      <c r="O91" t="s">
        <v>40</v>
      </c>
    </row>
    <row r="92" spans="1:15" hidden="1" x14ac:dyDescent="0.25">
      <c r="A92" t="str">
        <f t="shared" si="1"/>
        <v>NORFOLK &amp; WAVENEY ICS</v>
      </c>
      <c r="B92" t="s">
        <v>240</v>
      </c>
      <c r="C92" t="s">
        <v>241</v>
      </c>
      <c r="D92" t="s">
        <v>242</v>
      </c>
      <c r="F92" t="s">
        <v>28</v>
      </c>
      <c r="G92" s="1">
        <v>54789</v>
      </c>
      <c r="H92" s="1">
        <v>45931</v>
      </c>
      <c r="I92" t="s">
        <v>243</v>
      </c>
      <c r="J92" t="s">
        <v>30</v>
      </c>
      <c r="K92" t="s">
        <v>31</v>
      </c>
      <c r="L92" t="s">
        <v>32</v>
      </c>
      <c r="M92" t="s">
        <v>40</v>
      </c>
      <c r="N92" t="s">
        <v>40</v>
      </c>
      <c r="O92" t="s">
        <v>40</v>
      </c>
    </row>
    <row r="93" spans="1:15" hidden="1" x14ac:dyDescent="0.25">
      <c r="A93" t="str">
        <f t="shared" si="1"/>
        <v>NORTH CENTRAL LONDON ICS</v>
      </c>
      <c r="B93" t="s">
        <v>244</v>
      </c>
      <c r="C93" t="s">
        <v>245</v>
      </c>
      <c r="D93" t="s">
        <v>246</v>
      </c>
      <c r="F93" t="s">
        <v>110</v>
      </c>
      <c r="G93" s="1">
        <v>54789</v>
      </c>
      <c r="H93" s="1">
        <v>54789</v>
      </c>
      <c r="I93" t="s">
        <v>247</v>
      </c>
      <c r="J93" t="s">
        <v>40</v>
      </c>
      <c r="K93" t="s">
        <v>40</v>
      </c>
      <c r="L93" t="s">
        <v>40</v>
      </c>
      <c r="M93" t="s">
        <v>40</v>
      </c>
      <c r="N93" t="s">
        <v>40</v>
      </c>
      <c r="O93" t="s">
        <v>40</v>
      </c>
    </row>
    <row r="94" spans="1:15" hidden="1" x14ac:dyDescent="0.25">
      <c r="A94" t="str">
        <f t="shared" si="1"/>
        <v>NORTH EAST LONDON ICS</v>
      </c>
      <c r="B94" t="s">
        <v>248</v>
      </c>
      <c r="C94" t="s">
        <v>249</v>
      </c>
      <c r="D94" t="s">
        <v>250</v>
      </c>
      <c r="F94" t="s">
        <v>110</v>
      </c>
      <c r="G94" s="1">
        <v>42370</v>
      </c>
      <c r="H94" s="1">
        <v>43466</v>
      </c>
      <c r="I94" t="s">
        <v>251</v>
      </c>
      <c r="J94" t="s">
        <v>20</v>
      </c>
      <c r="K94" t="s">
        <v>32</v>
      </c>
      <c r="L94" t="s">
        <v>252</v>
      </c>
      <c r="M94" t="s">
        <v>40</v>
      </c>
      <c r="N94" t="s">
        <v>40</v>
      </c>
      <c r="O94" t="s">
        <v>40</v>
      </c>
    </row>
    <row r="95" spans="1:15" hidden="1" x14ac:dyDescent="0.25">
      <c r="A95" t="str">
        <f t="shared" si="1"/>
        <v>NORTH WEST LONDON ICS</v>
      </c>
      <c r="B95" t="s">
        <v>253</v>
      </c>
      <c r="C95" t="s">
        <v>254</v>
      </c>
      <c r="D95" t="s">
        <v>255</v>
      </c>
      <c r="F95" t="s">
        <v>110</v>
      </c>
      <c r="G95" s="1">
        <v>54789</v>
      </c>
      <c r="H95" s="1">
        <v>54789</v>
      </c>
      <c r="I95" t="s">
        <v>71</v>
      </c>
      <c r="J95" t="s">
        <v>40</v>
      </c>
      <c r="K95" t="s">
        <v>40</v>
      </c>
      <c r="L95" t="s">
        <v>40</v>
      </c>
      <c r="M95" t="s">
        <v>40</v>
      </c>
      <c r="N95" t="s">
        <v>40</v>
      </c>
      <c r="O95" t="s">
        <v>40</v>
      </c>
    </row>
    <row r="96" spans="1:15" hidden="1" x14ac:dyDescent="0.25">
      <c r="A96" t="str">
        <f t="shared" si="1"/>
        <v>NORTHAMPTONSHIRE ICS</v>
      </c>
      <c r="B96" t="s">
        <v>256</v>
      </c>
      <c r="C96" t="s">
        <v>257</v>
      </c>
      <c r="D96" t="s">
        <v>258</v>
      </c>
      <c r="F96" t="s">
        <v>28</v>
      </c>
      <c r="G96" s="1">
        <v>54789</v>
      </c>
      <c r="H96" s="1">
        <v>54789</v>
      </c>
      <c r="I96" t="s">
        <v>259</v>
      </c>
      <c r="J96" t="s">
        <v>30</v>
      </c>
      <c r="K96" t="s">
        <v>116</v>
      </c>
      <c r="L96" t="s">
        <v>68</v>
      </c>
      <c r="M96" t="s">
        <v>40</v>
      </c>
      <c r="N96" t="s">
        <v>40</v>
      </c>
      <c r="O96" t="s">
        <v>40</v>
      </c>
    </row>
    <row r="97" spans="1:15" hidden="1" x14ac:dyDescent="0.25">
      <c r="A97" t="str">
        <f t="shared" si="1"/>
        <v>BELFAST AIPB</v>
      </c>
      <c r="B97" t="s">
        <v>260</v>
      </c>
      <c r="C97" t="s">
        <v>261</v>
      </c>
      <c r="D97" t="s">
        <v>262</v>
      </c>
      <c r="F97" t="s">
        <v>263</v>
      </c>
      <c r="G97" s="1">
        <v>54789</v>
      </c>
      <c r="H97" s="1">
        <v>54789</v>
      </c>
      <c r="I97" t="s">
        <v>68</v>
      </c>
      <c r="J97" t="s">
        <v>40</v>
      </c>
      <c r="K97" t="s">
        <v>40</v>
      </c>
      <c r="L97" t="s">
        <v>40</v>
      </c>
      <c r="M97" t="s">
        <v>40</v>
      </c>
      <c r="N97" t="s">
        <v>40</v>
      </c>
      <c r="O97" t="s">
        <v>40</v>
      </c>
    </row>
    <row r="98" spans="1:15" hidden="1" x14ac:dyDescent="0.25">
      <c r="A98" t="str">
        <f t="shared" si="1"/>
        <v>NORTHERN AIPB</v>
      </c>
      <c r="B98" t="s">
        <v>260</v>
      </c>
      <c r="C98" t="s">
        <v>264</v>
      </c>
      <c r="D98" t="s">
        <v>262</v>
      </c>
      <c r="F98" t="s">
        <v>263</v>
      </c>
      <c r="G98" s="1">
        <v>54789</v>
      </c>
      <c r="H98" s="1">
        <v>54789</v>
      </c>
      <c r="I98" t="s">
        <v>68</v>
      </c>
      <c r="J98" t="s">
        <v>40</v>
      </c>
      <c r="K98" t="s">
        <v>40</v>
      </c>
      <c r="L98" t="s">
        <v>40</v>
      </c>
      <c r="M98" t="s">
        <v>40</v>
      </c>
      <c r="N98" t="s">
        <v>40</v>
      </c>
      <c r="O98" t="s">
        <v>40</v>
      </c>
    </row>
    <row r="99" spans="1:15" hidden="1" x14ac:dyDescent="0.25">
      <c r="A99" t="str">
        <f t="shared" si="1"/>
        <v>SOUTH EASTERN AIPB</v>
      </c>
      <c r="B99" t="s">
        <v>260</v>
      </c>
      <c r="C99" t="s">
        <v>265</v>
      </c>
      <c r="D99" t="s">
        <v>262</v>
      </c>
      <c r="F99" t="s">
        <v>263</v>
      </c>
      <c r="G99" s="1">
        <v>54789</v>
      </c>
      <c r="H99" s="1">
        <v>54789</v>
      </c>
      <c r="I99" t="s">
        <v>68</v>
      </c>
      <c r="J99" t="s">
        <v>40</v>
      </c>
      <c r="K99" t="s">
        <v>40</v>
      </c>
      <c r="L99" t="s">
        <v>40</v>
      </c>
      <c r="M99" t="s">
        <v>40</v>
      </c>
      <c r="N99" t="s">
        <v>40</v>
      </c>
      <c r="O99" t="s">
        <v>40</v>
      </c>
    </row>
    <row r="100" spans="1:15" hidden="1" x14ac:dyDescent="0.25">
      <c r="A100" t="str">
        <f t="shared" si="1"/>
        <v>SOUTHERN AIPB</v>
      </c>
      <c r="B100" t="s">
        <v>260</v>
      </c>
      <c r="C100" t="s">
        <v>266</v>
      </c>
      <c r="D100" t="s">
        <v>262</v>
      </c>
      <c r="F100" t="s">
        <v>263</v>
      </c>
      <c r="G100" s="1">
        <v>54789</v>
      </c>
      <c r="H100" s="1">
        <v>54789</v>
      </c>
      <c r="I100" t="s">
        <v>68</v>
      </c>
      <c r="J100" t="s">
        <v>40</v>
      </c>
      <c r="K100" t="s">
        <v>40</v>
      </c>
      <c r="L100" t="s">
        <v>40</v>
      </c>
      <c r="M100" t="s">
        <v>40</v>
      </c>
      <c r="N100" t="s">
        <v>40</v>
      </c>
      <c r="O100" t="s">
        <v>40</v>
      </c>
    </row>
    <row r="101" spans="1:15" hidden="1" x14ac:dyDescent="0.25">
      <c r="A101" t="str">
        <f t="shared" si="1"/>
        <v>WESTERN AIPB</v>
      </c>
      <c r="B101" t="s">
        <v>260</v>
      </c>
      <c r="C101" t="s">
        <v>267</v>
      </c>
      <c r="D101" t="s">
        <v>262</v>
      </c>
      <c r="F101" t="s">
        <v>263</v>
      </c>
      <c r="G101" s="1">
        <v>54789</v>
      </c>
      <c r="H101" s="1">
        <v>54789</v>
      </c>
      <c r="I101" t="s">
        <v>68</v>
      </c>
      <c r="J101" t="s">
        <v>40</v>
      </c>
      <c r="K101" t="s">
        <v>40</v>
      </c>
      <c r="L101" t="s">
        <v>40</v>
      </c>
      <c r="M101" t="s">
        <v>40</v>
      </c>
      <c r="N101" t="s">
        <v>40</v>
      </c>
      <c r="O101" t="s">
        <v>40</v>
      </c>
    </row>
    <row r="102" spans="1:15" hidden="1" x14ac:dyDescent="0.25">
      <c r="A102" t="str">
        <f t="shared" si="1"/>
        <v>NOTTNGM &amp; NOTTSHIRE ICS</v>
      </c>
      <c r="B102" t="s">
        <v>268</v>
      </c>
      <c r="C102" t="s">
        <v>269</v>
      </c>
      <c r="D102" t="s">
        <v>270</v>
      </c>
      <c r="F102" t="s">
        <v>38</v>
      </c>
      <c r="G102" s="1">
        <v>44682</v>
      </c>
      <c r="H102" s="1">
        <v>45778</v>
      </c>
      <c r="I102" t="s">
        <v>271</v>
      </c>
      <c r="J102" t="s">
        <v>20</v>
      </c>
      <c r="K102" t="s">
        <v>32</v>
      </c>
      <c r="L102" t="s">
        <v>272</v>
      </c>
      <c r="M102" t="s">
        <v>30</v>
      </c>
      <c r="N102" t="s">
        <v>273</v>
      </c>
      <c r="O102" t="s">
        <v>33</v>
      </c>
    </row>
    <row r="103" spans="1:15" hidden="1" x14ac:dyDescent="0.25">
      <c r="A103" t="str">
        <f t="shared" si="1"/>
        <v>NOTTNGM &amp; NOTTSHIRE ICS</v>
      </c>
      <c r="B103" t="s">
        <v>268</v>
      </c>
      <c r="C103" t="s">
        <v>274</v>
      </c>
      <c r="D103" t="s">
        <v>270</v>
      </c>
      <c r="F103" t="s">
        <v>38</v>
      </c>
      <c r="G103" s="1">
        <v>44682</v>
      </c>
      <c r="H103" s="1">
        <v>45778</v>
      </c>
      <c r="I103" t="s">
        <v>271</v>
      </c>
      <c r="J103" t="s">
        <v>20</v>
      </c>
      <c r="K103" t="s">
        <v>32</v>
      </c>
      <c r="L103" t="s">
        <v>272</v>
      </c>
      <c r="M103" t="s">
        <v>30</v>
      </c>
      <c r="N103" t="s">
        <v>273</v>
      </c>
      <c r="O103" t="s">
        <v>33</v>
      </c>
    </row>
    <row r="104" spans="1:15" hidden="1" x14ac:dyDescent="0.25">
      <c r="A104" t="str">
        <f t="shared" si="1"/>
        <v>SHROPSH TELFD &amp; WREK ICS</v>
      </c>
      <c r="B104" t="s">
        <v>275</v>
      </c>
      <c r="C104" t="s">
        <v>276</v>
      </c>
      <c r="D104" t="s">
        <v>277</v>
      </c>
      <c r="F104" t="s">
        <v>18</v>
      </c>
      <c r="G104" s="1">
        <v>54789</v>
      </c>
      <c r="H104" s="1">
        <v>54789</v>
      </c>
      <c r="I104" t="s">
        <v>278</v>
      </c>
      <c r="J104" t="s">
        <v>40</v>
      </c>
      <c r="K104" t="s">
        <v>40</v>
      </c>
      <c r="L104" t="s">
        <v>40</v>
      </c>
      <c r="M104" t="s">
        <v>40</v>
      </c>
      <c r="N104" t="s">
        <v>40</v>
      </c>
      <c r="O104" t="s">
        <v>40</v>
      </c>
    </row>
    <row r="105" spans="1:15" hidden="1" x14ac:dyDescent="0.25">
      <c r="A105" t="str">
        <f t="shared" si="1"/>
        <v>SOMERSET ICS</v>
      </c>
      <c r="B105" t="s">
        <v>279</v>
      </c>
      <c r="C105" t="s">
        <v>280</v>
      </c>
      <c r="D105" t="s">
        <v>281</v>
      </c>
      <c r="F105" t="s">
        <v>18</v>
      </c>
      <c r="G105" s="1">
        <v>44682</v>
      </c>
      <c r="H105" s="1">
        <v>45047</v>
      </c>
      <c r="I105" t="s">
        <v>282</v>
      </c>
      <c r="J105" t="s">
        <v>30</v>
      </c>
      <c r="K105" t="s">
        <v>31</v>
      </c>
      <c r="L105" t="s">
        <v>32</v>
      </c>
      <c r="M105" t="s">
        <v>40</v>
      </c>
      <c r="N105" t="s">
        <v>40</v>
      </c>
      <c r="O105" t="s">
        <v>40</v>
      </c>
    </row>
    <row r="106" spans="1:15" hidden="1" x14ac:dyDescent="0.25">
      <c r="A106" t="str">
        <f t="shared" si="1"/>
        <v>SOUTH EAST LONDON ICS</v>
      </c>
      <c r="B106" t="s">
        <v>283</v>
      </c>
      <c r="C106" t="s">
        <v>284</v>
      </c>
      <c r="D106" t="s">
        <v>285</v>
      </c>
      <c r="F106" t="s">
        <v>110</v>
      </c>
      <c r="G106" s="1">
        <v>45505</v>
      </c>
      <c r="H106" s="1">
        <v>45870</v>
      </c>
      <c r="I106" t="s">
        <v>286</v>
      </c>
      <c r="J106" t="s">
        <v>40</v>
      </c>
      <c r="K106" t="s">
        <v>40</v>
      </c>
      <c r="L106" t="s">
        <v>40</v>
      </c>
      <c r="M106" t="s">
        <v>40</v>
      </c>
      <c r="N106" t="s">
        <v>40</v>
      </c>
      <c r="O106" t="s">
        <v>40</v>
      </c>
    </row>
    <row r="107" spans="1:15" hidden="1" x14ac:dyDescent="0.25">
      <c r="A107" t="str">
        <f t="shared" si="1"/>
        <v>SOUTH WEST LONDON ICS</v>
      </c>
      <c r="B107" t="s">
        <v>287</v>
      </c>
      <c r="C107" t="s">
        <v>288</v>
      </c>
      <c r="D107" t="s">
        <v>289</v>
      </c>
      <c r="F107" t="s">
        <v>110</v>
      </c>
      <c r="G107" s="1">
        <v>54789</v>
      </c>
      <c r="H107" s="1">
        <v>54789</v>
      </c>
      <c r="I107" t="s">
        <v>290</v>
      </c>
      <c r="J107" t="s">
        <v>30</v>
      </c>
      <c r="K107" t="s">
        <v>31</v>
      </c>
      <c r="L107" t="s">
        <v>32</v>
      </c>
      <c r="M107" t="s">
        <v>40</v>
      </c>
      <c r="N107" t="s">
        <v>40</v>
      </c>
      <c r="O107" t="s">
        <v>40</v>
      </c>
    </row>
    <row r="108" spans="1:15" hidden="1" x14ac:dyDescent="0.25">
      <c r="A108" t="str">
        <f t="shared" si="1"/>
        <v>SOUTH YORKSHIRE ICS</v>
      </c>
      <c r="B108" t="s">
        <v>291</v>
      </c>
      <c r="C108" t="s">
        <v>292</v>
      </c>
      <c r="D108" t="s">
        <v>293</v>
      </c>
      <c r="F108" t="s">
        <v>150</v>
      </c>
      <c r="G108" s="1">
        <v>45200</v>
      </c>
      <c r="H108" s="1">
        <v>46296</v>
      </c>
      <c r="I108" t="s">
        <v>294</v>
      </c>
      <c r="J108" t="s">
        <v>40</v>
      </c>
      <c r="K108" t="s">
        <v>40</v>
      </c>
      <c r="L108" t="s">
        <v>40</v>
      </c>
      <c r="M108" t="s">
        <v>40</v>
      </c>
      <c r="N108" t="s">
        <v>40</v>
      </c>
      <c r="O108" t="s">
        <v>40</v>
      </c>
    </row>
    <row r="109" spans="1:15" hidden="1" x14ac:dyDescent="0.25">
      <c r="A109" t="str">
        <f t="shared" si="1"/>
        <v>SOUTH YORKSHIRE ICS</v>
      </c>
      <c r="B109" t="s">
        <v>291</v>
      </c>
      <c r="C109" t="s">
        <v>295</v>
      </c>
      <c r="D109" t="s">
        <v>293</v>
      </c>
      <c r="F109" t="s">
        <v>150</v>
      </c>
      <c r="G109" s="1">
        <v>45200</v>
      </c>
      <c r="H109" s="1">
        <v>46296</v>
      </c>
      <c r="I109" t="s">
        <v>294</v>
      </c>
      <c r="J109" t="s">
        <v>40</v>
      </c>
      <c r="K109" t="s">
        <v>40</v>
      </c>
      <c r="L109" t="s">
        <v>40</v>
      </c>
      <c r="M109" t="s">
        <v>40</v>
      </c>
      <c r="N109" t="s">
        <v>40</v>
      </c>
      <c r="O109" t="s">
        <v>40</v>
      </c>
    </row>
    <row r="110" spans="1:15" hidden="1" x14ac:dyDescent="0.25">
      <c r="A110" t="str">
        <f t="shared" si="1"/>
        <v>SOUTH YORKSHIRE ICS</v>
      </c>
      <c r="B110" t="s">
        <v>291</v>
      </c>
      <c r="C110" t="s">
        <v>296</v>
      </c>
      <c r="D110" t="s">
        <v>293</v>
      </c>
      <c r="F110" t="s">
        <v>150</v>
      </c>
      <c r="G110" s="1">
        <v>45200</v>
      </c>
      <c r="H110" s="1">
        <v>46296</v>
      </c>
      <c r="I110" t="s">
        <v>294</v>
      </c>
      <c r="J110" t="s">
        <v>40</v>
      </c>
      <c r="K110" t="s">
        <v>40</v>
      </c>
      <c r="L110" t="s">
        <v>40</v>
      </c>
      <c r="M110" t="s">
        <v>40</v>
      </c>
      <c r="N110" t="s">
        <v>40</v>
      </c>
      <c r="O110" t="s">
        <v>40</v>
      </c>
    </row>
    <row r="111" spans="1:15" hidden="1" x14ac:dyDescent="0.25">
      <c r="A111" t="str">
        <f t="shared" si="1"/>
        <v>SOUTH YORKSHIRE ICS</v>
      </c>
      <c r="B111" t="s">
        <v>291</v>
      </c>
      <c r="C111" t="s">
        <v>297</v>
      </c>
      <c r="D111" t="s">
        <v>293</v>
      </c>
      <c r="F111" t="s">
        <v>150</v>
      </c>
      <c r="G111" s="1">
        <v>45200</v>
      </c>
      <c r="H111" s="1">
        <v>46296</v>
      </c>
      <c r="I111" t="s">
        <v>294</v>
      </c>
      <c r="J111" t="s">
        <v>30</v>
      </c>
      <c r="K111" t="s">
        <v>116</v>
      </c>
      <c r="L111" t="s">
        <v>21</v>
      </c>
      <c r="M111" t="s">
        <v>20</v>
      </c>
      <c r="N111" t="s">
        <v>144</v>
      </c>
      <c r="O111" t="s">
        <v>298</v>
      </c>
    </row>
    <row r="112" spans="1:15" hidden="1" x14ac:dyDescent="0.25">
      <c r="A112" t="str">
        <f t="shared" si="1"/>
        <v>STAFFSH &amp; STOKE-TRNT ICS</v>
      </c>
      <c r="B112" t="s">
        <v>299</v>
      </c>
      <c r="C112" t="s">
        <v>300</v>
      </c>
      <c r="D112" t="s">
        <v>301</v>
      </c>
      <c r="F112" t="s">
        <v>75</v>
      </c>
      <c r="G112" s="1">
        <v>45017</v>
      </c>
      <c r="H112" s="1">
        <v>46113</v>
      </c>
      <c r="I112" t="s">
        <v>302</v>
      </c>
      <c r="J112" t="s">
        <v>30</v>
      </c>
      <c r="K112" t="s">
        <v>252</v>
      </c>
      <c r="L112" t="s">
        <v>32</v>
      </c>
      <c r="M112" t="s">
        <v>20</v>
      </c>
      <c r="N112" t="s">
        <v>144</v>
      </c>
      <c r="O112" t="s">
        <v>118</v>
      </c>
    </row>
    <row r="113" spans="1:15" hidden="1" x14ac:dyDescent="0.25">
      <c r="A113" t="str">
        <f t="shared" si="1"/>
        <v>STAFFSH &amp; STOKE-TRNT ICS</v>
      </c>
      <c r="B113" t="s">
        <v>299</v>
      </c>
      <c r="C113" t="s">
        <v>303</v>
      </c>
      <c r="D113" t="s">
        <v>304</v>
      </c>
      <c r="F113" t="s">
        <v>75</v>
      </c>
      <c r="G113" s="1">
        <v>45017</v>
      </c>
      <c r="H113" s="1">
        <v>46113</v>
      </c>
      <c r="I113" t="s">
        <v>302</v>
      </c>
      <c r="J113" t="s">
        <v>30</v>
      </c>
      <c r="K113" t="s">
        <v>252</v>
      </c>
      <c r="L113" t="s">
        <v>32</v>
      </c>
      <c r="M113" t="s">
        <v>20</v>
      </c>
      <c r="N113" t="s">
        <v>144</v>
      </c>
      <c r="O113" t="s">
        <v>118</v>
      </c>
    </row>
    <row r="114" spans="1:15" hidden="1" x14ac:dyDescent="0.25">
      <c r="A114" t="str">
        <f t="shared" si="1"/>
        <v>STAFFSH &amp; STOKE-TRNT ICS</v>
      </c>
      <c r="B114" t="s">
        <v>299</v>
      </c>
      <c r="C114" t="s">
        <v>305</v>
      </c>
      <c r="D114" t="s">
        <v>304</v>
      </c>
      <c r="F114" t="s">
        <v>75</v>
      </c>
      <c r="G114" s="1">
        <v>54789</v>
      </c>
      <c r="H114" s="1">
        <v>54789</v>
      </c>
      <c r="I114" t="s">
        <v>306</v>
      </c>
      <c r="J114" t="s">
        <v>40</v>
      </c>
      <c r="K114" t="s">
        <v>40</v>
      </c>
      <c r="L114" t="s">
        <v>40</v>
      </c>
      <c r="M114" t="s">
        <v>40</v>
      </c>
      <c r="N114" t="s">
        <v>40</v>
      </c>
      <c r="O114" t="s">
        <v>40</v>
      </c>
    </row>
    <row r="115" spans="1:15" hidden="1" x14ac:dyDescent="0.25">
      <c r="A115" t="str">
        <f t="shared" si="1"/>
        <v>STAFFSH &amp; STOKE-TRNT ICS</v>
      </c>
      <c r="B115" t="s">
        <v>299</v>
      </c>
      <c r="C115" t="s">
        <v>307</v>
      </c>
      <c r="D115" t="s">
        <v>304</v>
      </c>
      <c r="F115" t="s">
        <v>75</v>
      </c>
      <c r="G115" s="1">
        <v>45017</v>
      </c>
      <c r="H115" s="1">
        <v>46113</v>
      </c>
      <c r="I115" t="s">
        <v>308</v>
      </c>
      <c r="J115" t="s">
        <v>30</v>
      </c>
      <c r="K115" t="s">
        <v>252</v>
      </c>
      <c r="L115" t="s">
        <v>32</v>
      </c>
      <c r="M115" t="s">
        <v>20</v>
      </c>
      <c r="N115" t="s">
        <v>144</v>
      </c>
      <c r="O115" t="s">
        <v>118</v>
      </c>
    </row>
    <row r="116" spans="1:15" hidden="1" x14ac:dyDescent="0.25">
      <c r="A116" t="str">
        <f t="shared" si="1"/>
        <v>STAFFSH &amp; STOKE-TRNT ICS</v>
      </c>
      <c r="B116" t="s">
        <v>299</v>
      </c>
      <c r="C116" t="s">
        <v>309</v>
      </c>
      <c r="D116" t="s">
        <v>304</v>
      </c>
      <c r="F116" t="s">
        <v>75</v>
      </c>
      <c r="G116" s="1">
        <v>45017</v>
      </c>
      <c r="H116" s="1">
        <v>46113</v>
      </c>
      <c r="I116" t="s">
        <v>308</v>
      </c>
      <c r="J116" t="s">
        <v>30</v>
      </c>
      <c r="K116" t="s">
        <v>252</v>
      </c>
      <c r="L116" t="s">
        <v>32</v>
      </c>
      <c r="M116" t="s">
        <v>20</v>
      </c>
      <c r="N116" t="s">
        <v>144</v>
      </c>
      <c r="O116" t="s">
        <v>118</v>
      </c>
    </row>
    <row r="117" spans="1:15" hidden="1" x14ac:dyDescent="0.25">
      <c r="A117" t="str">
        <f t="shared" si="1"/>
        <v>STAFFSH &amp; STOKE-TRNT ICS</v>
      </c>
      <c r="B117" t="s">
        <v>299</v>
      </c>
      <c r="C117" t="s">
        <v>310</v>
      </c>
      <c r="D117" t="s">
        <v>304</v>
      </c>
      <c r="F117" t="s">
        <v>75</v>
      </c>
      <c r="G117" s="1">
        <v>45017</v>
      </c>
      <c r="H117" s="1">
        <v>46113</v>
      </c>
      <c r="I117" t="s">
        <v>308</v>
      </c>
      <c r="J117" t="s">
        <v>30</v>
      </c>
      <c r="K117" t="s">
        <v>252</v>
      </c>
      <c r="L117" t="s">
        <v>32</v>
      </c>
      <c r="M117" t="s">
        <v>20</v>
      </c>
      <c r="N117" t="s">
        <v>144</v>
      </c>
      <c r="O117" t="s">
        <v>118</v>
      </c>
    </row>
    <row r="118" spans="1:15" hidden="1" x14ac:dyDescent="0.25">
      <c r="A118" t="str">
        <f t="shared" si="1"/>
        <v>SUFFOLK &amp; NE ESSEX ICS</v>
      </c>
      <c r="B118" t="s">
        <v>311</v>
      </c>
      <c r="C118" t="s">
        <v>312</v>
      </c>
      <c r="D118" t="s">
        <v>313</v>
      </c>
      <c r="F118" t="s">
        <v>28</v>
      </c>
      <c r="G118" s="1">
        <v>54789</v>
      </c>
      <c r="H118" s="1">
        <v>54789</v>
      </c>
      <c r="I118" t="s">
        <v>314</v>
      </c>
      <c r="J118" t="s">
        <v>30</v>
      </c>
      <c r="K118" t="s">
        <v>116</v>
      </c>
      <c r="L118" t="s">
        <v>68</v>
      </c>
      <c r="M118" t="s">
        <v>40</v>
      </c>
      <c r="N118" t="s">
        <v>40</v>
      </c>
      <c r="O118" t="s">
        <v>40</v>
      </c>
    </row>
    <row r="119" spans="1:15" hidden="1" x14ac:dyDescent="0.25">
      <c r="A119" t="str">
        <f t="shared" si="1"/>
        <v>SUFFOLK &amp; NE ESSEX ICS</v>
      </c>
      <c r="B119" t="s">
        <v>311</v>
      </c>
      <c r="C119" t="s">
        <v>315</v>
      </c>
      <c r="D119" t="s">
        <v>313</v>
      </c>
      <c r="F119" t="s">
        <v>28</v>
      </c>
      <c r="G119" s="1">
        <v>54789</v>
      </c>
      <c r="H119" s="1">
        <v>54789</v>
      </c>
      <c r="I119" t="s">
        <v>314</v>
      </c>
      <c r="J119" t="s">
        <v>30</v>
      </c>
      <c r="K119" t="s">
        <v>116</v>
      </c>
      <c r="L119" t="s">
        <v>68</v>
      </c>
      <c r="M119" t="s">
        <v>40</v>
      </c>
      <c r="N119" t="s">
        <v>40</v>
      </c>
      <c r="O119" t="s">
        <v>40</v>
      </c>
    </row>
    <row r="120" spans="1:15" hidden="1" x14ac:dyDescent="0.25">
      <c r="A120" t="str">
        <f t="shared" si="1"/>
        <v>SUFFOLK &amp; NE ESSEX ICS</v>
      </c>
      <c r="B120" t="s">
        <v>311</v>
      </c>
      <c r="C120" t="s">
        <v>316</v>
      </c>
      <c r="D120" t="s">
        <v>313</v>
      </c>
      <c r="F120" t="s">
        <v>28</v>
      </c>
      <c r="G120" s="1">
        <v>44501</v>
      </c>
      <c r="H120" s="1">
        <v>45231</v>
      </c>
      <c r="I120" t="s">
        <v>317</v>
      </c>
      <c r="J120" t="s">
        <v>40</v>
      </c>
      <c r="K120" t="s">
        <v>40</v>
      </c>
      <c r="L120" t="s">
        <v>40</v>
      </c>
      <c r="M120" t="s">
        <v>40</v>
      </c>
      <c r="N120" t="s">
        <v>40</v>
      </c>
      <c r="O120" t="s">
        <v>40</v>
      </c>
    </row>
    <row r="121" spans="1:15" hidden="1" x14ac:dyDescent="0.25">
      <c r="A121" t="str">
        <f t="shared" si="1"/>
        <v>SURREY HEARTLANDS ICS</v>
      </c>
      <c r="B121" t="s">
        <v>318</v>
      </c>
      <c r="C121" t="s">
        <v>319</v>
      </c>
      <c r="D121" t="s">
        <v>320</v>
      </c>
      <c r="F121" t="s">
        <v>110</v>
      </c>
      <c r="G121" s="1">
        <v>45200</v>
      </c>
      <c r="H121" s="1">
        <v>46296</v>
      </c>
      <c r="I121" t="s">
        <v>321</v>
      </c>
      <c r="J121" t="s">
        <v>40</v>
      </c>
      <c r="K121" t="s">
        <v>40</v>
      </c>
      <c r="L121" t="s">
        <v>40</v>
      </c>
      <c r="M121" t="s">
        <v>40</v>
      </c>
      <c r="N121" t="s">
        <v>40</v>
      </c>
      <c r="O121" t="s">
        <v>40</v>
      </c>
    </row>
    <row r="122" spans="1:15" hidden="1" x14ac:dyDescent="0.25">
      <c r="A122" t="str">
        <f t="shared" si="1"/>
        <v>SUSSEX ICS</v>
      </c>
      <c r="B122" t="s">
        <v>322</v>
      </c>
      <c r="C122" t="s">
        <v>323</v>
      </c>
      <c r="D122" t="s">
        <v>324</v>
      </c>
      <c r="F122" t="s">
        <v>53</v>
      </c>
      <c r="G122" s="1">
        <v>45658</v>
      </c>
      <c r="H122" s="1">
        <v>46388</v>
      </c>
      <c r="I122" t="s">
        <v>325</v>
      </c>
      <c r="J122" t="s">
        <v>20</v>
      </c>
      <c r="K122" t="s">
        <v>32</v>
      </c>
      <c r="L122" t="s">
        <v>252</v>
      </c>
      <c r="M122" t="s">
        <v>40</v>
      </c>
      <c r="N122" t="s">
        <v>40</v>
      </c>
      <c r="O122" t="s">
        <v>40</v>
      </c>
    </row>
    <row r="123" spans="1:15" hidden="1" x14ac:dyDescent="0.25">
      <c r="A123" t="str">
        <f t="shared" si="1"/>
        <v>SUSSEX ICS</v>
      </c>
      <c r="B123" t="s">
        <v>322</v>
      </c>
      <c r="C123" t="s">
        <v>326</v>
      </c>
      <c r="D123" t="s">
        <v>324</v>
      </c>
      <c r="F123" t="s">
        <v>53</v>
      </c>
      <c r="G123" s="1">
        <v>45658</v>
      </c>
      <c r="H123" s="1">
        <v>46388</v>
      </c>
      <c r="I123" t="s">
        <v>325</v>
      </c>
      <c r="J123" t="s">
        <v>20</v>
      </c>
      <c r="K123" t="s">
        <v>32</v>
      </c>
      <c r="L123" t="s">
        <v>252</v>
      </c>
      <c r="M123" t="s">
        <v>40</v>
      </c>
      <c r="N123" t="s">
        <v>40</v>
      </c>
      <c r="O123" t="s">
        <v>40</v>
      </c>
    </row>
    <row r="124" spans="1:15" hidden="1" x14ac:dyDescent="0.25">
      <c r="A124" t="str">
        <f t="shared" si="1"/>
        <v>SUSSEX ICS</v>
      </c>
      <c r="B124" t="s">
        <v>322</v>
      </c>
      <c r="C124" t="s">
        <v>327</v>
      </c>
      <c r="D124" t="s">
        <v>324</v>
      </c>
      <c r="F124" t="s">
        <v>53</v>
      </c>
      <c r="G124" s="1">
        <v>45658</v>
      </c>
      <c r="H124" s="1">
        <v>46388</v>
      </c>
      <c r="I124" t="s">
        <v>325</v>
      </c>
      <c r="J124" t="s">
        <v>20</v>
      </c>
      <c r="K124" t="s">
        <v>32</v>
      </c>
      <c r="L124" t="s">
        <v>22</v>
      </c>
      <c r="M124" t="s">
        <v>40</v>
      </c>
      <c r="N124" t="s">
        <v>40</v>
      </c>
      <c r="O124" t="s">
        <v>40</v>
      </c>
    </row>
    <row r="125" spans="1:15" hidden="1" x14ac:dyDescent="0.25">
      <c r="A125" t="str">
        <f t="shared" si="1"/>
        <v>ANEURIN BEVAN UNIV HB</v>
      </c>
      <c r="B125" t="s">
        <v>328</v>
      </c>
      <c r="C125" t="s">
        <v>329</v>
      </c>
      <c r="D125" t="s">
        <v>330</v>
      </c>
      <c r="F125" t="s">
        <v>48</v>
      </c>
      <c r="G125" s="1">
        <v>44593</v>
      </c>
      <c r="H125" s="1">
        <v>45689</v>
      </c>
      <c r="I125" t="s">
        <v>68</v>
      </c>
      <c r="J125" t="s">
        <v>40</v>
      </c>
      <c r="K125" t="s">
        <v>40</v>
      </c>
      <c r="L125" t="s">
        <v>40</v>
      </c>
      <c r="M125" t="s">
        <v>40</v>
      </c>
      <c r="N125" t="s">
        <v>40</v>
      </c>
      <c r="O125" t="s">
        <v>40</v>
      </c>
    </row>
    <row r="126" spans="1:15" hidden="1" x14ac:dyDescent="0.25">
      <c r="A126" t="str">
        <f t="shared" si="1"/>
        <v>HYWEL DDA UNIVERSITY HB</v>
      </c>
      <c r="B126" t="s">
        <v>328</v>
      </c>
      <c r="C126" t="s">
        <v>331</v>
      </c>
      <c r="D126" t="s">
        <v>332</v>
      </c>
      <c r="F126" t="s">
        <v>48</v>
      </c>
      <c r="G126" s="1">
        <v>45597</v>
      </c>
      <c r="H126" s="1">
        <v>46327</v>
      </c>
      <c r="I126" t="s">
        <v>333</v>
      </c>
      <c r="J126" t="s">
        <v>20</v>
      </c>
      <c r="K126" t="s">
        <v>21</v>
      </c>
      <c r="L126" t="s">
        <v>32</v>
      </c>
      <c r="M126" t="s">
        <v>20</v>
      </c>
      <c r="N126" t="s">
        <v>33</v>
      </c>
      <c r="O126" t="s">
        <v>68</v>
      </c>
    </row>
    <row r="127" spans="1:15" hidden="1" x14ac:dyDescent="0.25">
      <c r="A127" t="str">
        <f t="shared" si="1"/>
        <v>POWYS TEACHING HB</v>
      </c>
      <c r="B127" t="s">
        <v>328</v>
      </c>
      <c r="C127" t="s">
        <v>334</v>
      </c>
      <c r="D127" t="s">
        <v>70</v>
      </c>
      <c r="F127" t="s">
        <v>48</v>
      </c>
      <c r="G127" s="1">
        <v>54789</v>
      </c>
      <c r="H127" s="1">
        <v>54789</v>
      </c>
      <c r="I127" t="s">
        <v>71</v>
      </c>
      <c r="J127" t="s">
        <v>40</v>
      </c>
      <c r="K127" t="s">
        <v>40</v>
      </c>
      <c r="L127" t="s">
        <v>40</v>
      </c>
      <c r="M127" t="s">
        <v>40</v>
      </c>
      <c r="N127" t="s">
        <v>40</v>
      </c>
      <c r="O127" t="s">
        <v>40</v>
      </c>
    </row>
    <row r="128" spans="1:15" hidden="1" x14ac:dyDescent="0.25">
      <c r="A128" t="str">
        <f t="shared" si="1"/>
        <v>SWANSEA BAY UNIV HB</v>
      </c>
      <c r="B128" t="s">
        <v>328</v>
      </c>
      <c r="C128" t="s">
        <v>335</v>
      </c>
      <c r="D128" t="s">
        <v>336</v>
      </c>
      <c r="F128" t="s">
        <v>48</v>
      </c>
      <c r="G128" s="1">
        <v>43617</v>
      </c>
      <c r="H128" s="1">
        <v>44348</v>
      </c>
      <c r="I128" t="s">
        <v>337</v>
      </c>
      <c r="J128" t="s">
        <v>40</v>
      </c>
      <c r="K128" t="s">
        <v>40</v>
      </c>
      <c r="L128" t="s">
        <v>40</v>
      </c>
      <c r="M128" t="s">
        <v>30</v>
      </c>
      <c r="N128" t="s">
        <v>298</v>
      </c>
      <c r="O128" t="s">
        <v>64</v>
      </c>
    </row>
    <row r="129" spans="1:15" hidden="1" x14ac:dyDescent="0.25">
      <c r="A129" t="str">
        <f t="shared" si="1"/>
        <v>BETSI CADWALADR UNI HB</v>
      </c>
      <c r="B129" t="s">
        <v>328</v>
      </c>
      <c r="C129" t="s">
        <v>338</v>
      </c>
      <c r="D129" t="s">
        <v>339</v>
      </c>
      <c r="F129" t="s">
        <v>48</v>
      </c>
      <c r="G129" s="1">
        <v>54789</v>
      </c>
      <c r="H129" s="1">
        <v>54789</v>
      </c>
      <c r="I129" t="s">
        <v>68</v>
      </c>
      <c r="J129" t="s">
        <v>40</v>
      </c>
      <c r="K129" t="s">
        <v>40</v>
      </c>
      <c r="L129" t="s">
        <v>40</v>
      </c>
      <c r="M129" t="s">
        <v>40</v>
      </c>
      <c r="N129" t="s">
        <v>40</v>
      </c>
      <c r="O129" t="s">
        <v>40</v>
      </c>
    </row>
    <row r="130" spans="1:15" hidden="1" x14ac:dyDescent="0.25">
      <c r="A130" t="str">
        <f t="shared" ref="A130:A136" si="2">IF(B130 = "NORTHERN IRELAND HSCB", C130, IF(B130 = "WELSH ASSEMBLY", C130, B130))</f>
        <v>CARDIFF &amp; VALE UNIV HB</v>
      </c>
      <c r="B130" t="s">
        <v>328</v>
      </c>
      <c r="C130" t="s">
        <v>340</v>
      </c>
      <c r="D130" t="s">
        <v>341</v>
      </c>
      <c r="F130" t="s">
        <v>48</v>
      </c>
      <c r="G130" s="1">
        <v>43983</v>
      </c>
      <c r="H130" s="1">
        <v>54789</v>
      </c>
      <c r="I130" t="s">
        <v>342</v>
      </c>
      <c r="J130" t="s">
        <v>20</v>
      </c>
      <c r="K130" t="s">
        <v>343</v>
      </c>
      <c r="L130" t="s">
        <v>68</v>
      </c>
      <c r="M130" t="s">
        <v>20</v>
      </c>
      <c r="N130" t="s">
        <v>23</v>
      </c>
      <c r="O130" t="s">
        <v>68</v>
      </c>
    </row>
    <row r="131" spans="1:15" hidden="1" x14ac:dyDescent="0.25">
      <c r="A131" t="str">
        <f t="shared" si="2"/>
        <v>CWM TAF MORG UNIV HB</v>
      </c>
      <c r="B131" t="s">
        <v>328</v>
      </c>
      <c r="C131" t="s">
        <v>344</v>
      </c>
      <c r="D131" t="s">
        <v>345</v>
      </c>
      <c r="F131" t="s">
        <v>48</v>
      </c>
      <c r="G131" s="1">
        <v>54789</v>
      </c>
      <c r="H131" s="1">
        <v>54789</v>
      </c>
      <c r="I131" t="s">
        <v>68</v>
      </c>
      <c r="J131" t="s">
        <v>40</v>
      </c>
      <c r="K131" t="s">
        <v>40</v>
      </c>
      <c r="L131" t="s">
        <v>40</v>
      </c>
      <c r="M131" t="s">
        <v>40</v>
      </c>
      <c r="N131" t="s">
        <v>40</v>
      </c>
      <c r="O131" t="s">
        <v>40</v>
      </c>
    </row>
    <row r="132" spans="1:15" hidden="1" x14ac:dyDescent="0.25">
      <c r="A132" t="str">
        <f t="shared" si="2"/>
        <v>WEST YORKSHIRE ICS</v>
      </c>
      <c r="B132" t="s">
        <v>346</v>
      </c>
      <c r="C132" t="s">
        <v>347</v>
      </c>
      <c r="D132" t="s">
        <v>348</v>
      </c>
      <c r="F132" t="s">
        <v>150</v>
      </c>
      <c r="G132" s="1">
        <v>45292</v>
      </c>
      <c r="H132" s="1">
        <v>46753</v>
      </c>
      <c r="I132" t="s">
        <v>349</v>
      </c>
      <c r="J132" t="s">
        <v>40</v>
      </c>
      <c r="K132" t="s">
        <v>40</v>
      </c>
      <c r="L132" t="s">
        <v>40</v>
      </c>
      <c r="M132" t="s">
        <v>40</v>
      </c>
      <c r="N132" t="s">
        <v>40</v>
      </c>
      <c r="O132" t="s">
        <v>40</v>
      </c>
    </row>
    <row r="133" spans="1:15" hidden="1" x14ac:dyDescent="0.25">
      <c r="A133" t="str">
        <f t="shared" si="2"/>
        <v>WEST YORKSHIRE ICS</v>
      </c>
      <c r="B133" t="s">
        <v>346</v>
      </c>
      <c r="C133" t="s">
        <v>350</v>
      </c>
      <c r="D133" t="s">
        <v>348</v>
      </c>
      <c r="F133" t="s">
        <v>150</v>
      </c>
      <c r="G133" s="1">
        <v>45292</v>
      </c>
      <c r="H133" s="1">
        <v>46753</v>
      </c>
      <c r="I133" t="s">
        <v>349</v>
      </c>
      <c r="J133" t="s">
        <v>40</v>
      </c>
      <c r="K133" t="s">
        <v>40</v>
      </c>
      <c r="L133" t="s">
        <v>40</v>
      </c>
      <c r="M133" t="s">
        <v>40</v>
      </c>
      <c r="N133" t="s">
        <v>40</v>
      </c>
      <c r="O133" t="s">
        <v>40</v>
      </c>
    </row>
    <row r="134" spans="1:15" hidden="1" x14ac:dyDescent="0.25">
      <c r="A134" t="str">
        <f t="shared" si="2"/>
        <v>WEST YORKSHIRE ICS</v>
      </c>
      <c r="B134" t="s">
        <v>346</v>
      </c>
      <c r="C134" t="s">
        <v>351</v>
      </c>
      <c r="D134" t="s">
        <v>348</v>
      </c>
      <c r="F134" t="s">
        <v>150</v>
      </c>
      <c r="G134" s="1">
        <v>45292</v>
      </c>
      <c r="H134" s="1">
        <v>46753</v>
      </c>
      <c r="I134" t="s">
        <v>349</v>
      </c>
      <c r="J134" t="s">
        <v>40</v>
      </c>
      <c r="K134" t="s">
        <v>40</v>
      </c>
      <c r="L134" t="s">
        <v>40</v>
      </c>
      <c r="M134" t="s">
        <v>40</v>
      </c>
      <c r="N134" t="s">
        <v>40</v>
      </c>
      <c r="O134" t="s">
        <v>40</v>
      </c>
    </row>
    <row r="135" spans="1:15" hidden="1" x14ac:dyDescent="0.25">
      <c r="A135" t="str">
        <f t="shared" si="2"/>
        <v>WEST YORKSHIRE ICS</v>
      </c>
      <c r="B135" t="s">
        <v>346</v>
      </c>
      <c r="C135" t="s">
        <v>352</v>
      </c>
      <c r="D135" t="s">
        <v>348</v>
      </c>
      <c r="F135" t="s">
        <v>150</v>
      </c>
      <c r="G135" s="1">
        <v>45292</v>
      </c>
      <c r="H135" s="1">
        <v>46753</v>
      </c>
      <c r="I135" t="s">
        <v>349</v>
      </c>
      <c r="J135" t="s">
        <v>40</v>
      </c>
      <c r="K135" t="s">
        <v>40</v>
      </c>
      <c r="L135" t="s">
        <v>40</v>
      </c>
      <c r="M135" t="s">
        <v>40</v>
      </c>
      <c r="N135" t="s">
        <v>40</v>
      </c>
      <c r="O135" t="s">
        <v>40</v>
      </c>
    </row>
    <row r="136" spans="1:15" hidden="1" x14ac:dyDescent="0.25">
      <c r="A136" t="str">
        <f t="shared" si="2"/>
        <v>WEST YORKSHIRE ICS</v>
      </c>
      <c r="B136" t="s">
        <v>346</v>
      </c>
      <c r="C136" t="s">
        <v>353</v>
      </c>
      <c r="D136" t="s">
        <v>354</v>
      </c>
      <c r="F136" t="s">
        <v>150</v>
      </c>
      <c r="G136" s="1">
        <v>45292</v>
      </c>
      <c r="H136" s="1">
        <v>46753</v>
      </c>
      <c r="I136" t="s">
        <v>349</v>
      </c>
      <c r="J136" t="s">
        <v>40</v>
      </c>
      <c r="K136" t="s">
        <v>40</v>
      </c>
      <c r="L136" t="s">
        <v>40</v>
      </c>
      <c r="M136" t="s">
        <v>40</v>
      </c>
      <c r="N136" t="s">
        <v>40</v>
      </c>
      <c r="O136" t="s">
        <v>40</v>
      </c>
    </row>
  </sheetData>
  <autoFilter ref="A1:O136" xr:uid="{E8321593-AC59-4A86-9E50-71598AC49BCE}">
    <filterColumn colId="0">
      <filters>
        <filter val="NHS GRAMPIAN"/>
      </filters>
    </filterColumn>
  </autoFilter>
  <hyperlinks>
    <hyperlink ref="I123" r:id="rId1" xr:uid="{C1B46989-BBED-447D-8DE3-D5B6AF928773}"/>
    <hyperlink ref="E86" r:id="rId2" xr:uid="{BCEFC6F7-98D9-463E-8146-3DD2FFBBBE75}"/>
    <hyperlink ref="I24" r:id="rId3" xr:uid="{9F87D7B7-650C-46F5-B64E-21A56276D9D0}"/>
    <hyperlink ref="I7" r:id="rId4" xr:uid="{1598F247-7E71-49FB-B68A-5F39255E345D}"/>
    <hyperlink ref="I94" r:id="rId5" xr:uid="{33A8C1F6-E3F6-4794-B243-4BC22D64A344}"/>
    <hyperlink ref="I116" r:id="rId6" xr:uid="{A2F2305C-2FFC-4036-A70C-F9288251E989}"/>
    <hyperlink ref="I25" r:id="rId7" display="https://northeast.devonformularyguidance.nhs.uk/formulary/chapters/9-blood-and-nutrition/specialist-infant-formulas-in-primary-care" xr:uid="{5B1EA24A-5572-4A2E-A520-4DC6EFA4A0A8}"/>
    <hyperlink ref="I28" r:id="rId8" display="https://g-care.glos.nhs.uk/clinical-topic/cows-milk-protein-allergy-cmpa-c-yp/pathway" xr:uid="{82C64A1B-17D7-4FE4-87B8-0F64AFC73E8A}"/>
    <hyperlink ref="I61" r:id="rId9" display="https://www.areaprescribingcommitteeleicesterleicestershirerutland.nhs.uk/wp-content/uploads/2017/11/Infant-formula-Prescibing-guidelines-May-23.pdf" xr:uid="{ECDD9372-C870-434A-8F24-865177FFD003}"/>
    <hyperlink ref="I62" r:id="rId10" display="https://www.areaprescribingcommitteeleicesterleicestershirerutland.nhs.uk/wp-content/uploads/2017/11/Infant-formula-Prescibing-guidelines-May-23.pdf" xr:uid="{ED83078A-92C0-4C6A-8B3A-D7E468D2D4C2}"/>
    <hyperlink ref="I63" r:id="rId11" display="https://www.areaprescribingcommitteeleicesterleicestershirerutland.nhs.uk/wp-content/uploads/2017/11/Infant-formula-Prescibing-guidelines-May-23.pdf" xr:uid="{F46F301E-11E4-4F2F-AC97-4BD29E644BE9}"/>
    <hyperlink ref="I118" r:id="rId12" display="https://rbcom.sharepoint.com/sites/gbspodc/he/UKMJN/Sales/CCG Guideline Tracker/PDF Guidelines/Suffolk &amp; NE Essex ICB/SNEE 2 - North East Essex Guideline.jpg?csf=1&amp;web=1&amp;e=cvj6U2&amp;CID=63f898f3-8a21-4d03-87b6-4368c686a551" xr:uid="{3F70BA88-834C-4AD8-9EFA-B9989E33D91D}"/>
    <hyperlink ref="I119" r:id="rId13" display="https://rbcom.sharepoint.com/sites/gbspodc/he/UKMJN/Sales/CCG Guideline Tracker/PDF Guidelines/Suffolk &amp; NE Essex ICB/SNEE 2 - North East Essex Guideline.jpg?csf=1&amp;web=1&amp;e=cvj6U2&amp;CID=63f898f3-8a21-4d03-87b6-4368c686a551" xr:uid="{B68A1F6A-16EE-4326-8FCF-FC91DFD5C812}"/>
    <hyperlink ref="I120" r:id="rId14" display="https://rbcom.sharepoint.com/sites/gbspodc/he/UKMJN/Sales/CCG Guideline Tracker/PDF Guidelines/Suffolk &amp; NE Essex ICB/SNEE 2 - West Suffolk Guideline.jpg?csf=1&amp;web=1&amp;e=AiNgRu&amp;CID=ce928019-1544-4474-af0a-487903993c9a" xr:uid="{705CB7F9-BB51-460A-BE85-4A33177C5C22}"/>
    <hyperlink ref="I136" r:id="rId15" display="https://www.wyicsapc.co.uk/wp-content/uploads/2024/02/FINAL-Prescribing-Specialist-Infant-Formula-in-Primary-Care-approved-WY-ICS-APC-Jan-2024-v1.0.docx.pdf" xr:uid="{B1421CF4-D34A-4297-BAA9-0B15A7C91744}"/>
    <hyperlink ref="I104" r:id="rId16" display="https://www.shropshiretelfordandwrekinccg.nhs.uk/wp-content/uploads/cmpa-quick-guide.pdf" xr:uid="{52E3732F-B597-4F55-BF3F-3F278FDB7A37}"/>
    <hyperlink ref="I130" r:id="rId17" display="https://cavuhb.nhs.wales/about-us/governance-and-assurance/freedom-of-information/disclosure-log/2020/months/october-2020/foi-20-401-hypoallergenic-formulas-for-the-diagnosis-and-management-of-cma18-pdf/" xr:uid="{5D7254BD-68A3-4737-92D8-514D9BAE5880}"/>
    <hyperlink ref="I126" r:id="rId18" display="https://formularydocs.wales.nhs.uk/Hywelddahb/Formulary - CMPA Nov 24 (1)_5906.pdf" xr:uid="{06C2A1B0-5B4C-4149-AD9D-9899E8B02ADB}"/>
    <hyperlink ref="I26" r:id="rId19" display="https://gp-portal.westhampshireccg.nhs.uk/wp-content/uploads/2020/01/2018_Wessex_IF_guidelines-Final.pdf" xr:uid="{E76CAA9D-82FE-44A8-BFA3-5D9D7F278543}"/>
    <hyperlink ref="I39" r:id="rId20" display="https://gp-portal.westhampshireccg.nhs.uk/wp-content/uploads/2020/01/2018_Wessex_IF_guidelines-Final.pdf" xr:uid="{91ABD302-7C51-467B-B88E-9BC1141F0D64}"/>
    <hyperlink ref="I40" r:id="rId21" display="https://gp-portal.westhampshireccg.nhs.uk/wp-content/uploads/2020/01/2018_Wessex_IF_guidelines-Final.pdf" xr:uid="{8593D71D-52B5-4C98-AED0-A2C58F0C626B}"/>
    <hyperlink ref="I45" r:id="rId22" display="../../../../../../../:b:/r/sites/gbspodc/he/UKMJN/Sales/CCG Guideline Tracker/PDF Guidelines/HAPC Specialist infant formulae final Oct 2023.pdf?csf=1&amp;web=1&amp;e=sk2eOi" xr:uid="{8DB1BF32-5474-4C21-9D92-3B9CB31E69AB}"/>
    <hyperlink ref="I46:I50" r:id="rId23" display="../../../../../../../:b:/r/sites/gbspodc/he/UKMJN/Sales/CCG Guideline Tracker/PDF Guidelines/HAPC Specialist infant formulae final Oct 2023.pdf?csf=1&amp;web=1&amp;e=sk2eOi" xr:uid="{63769976-D63F-4B70-B498-4EF55A60389F}"/>
    <hyperlink ref="I93" r:id="rId24" display="https://www.ncl-jointformulary.nhs.uk/chaptersSubDetails.asp?FormularySectionID=25&amp;SubSectionRef=A2.03.01&amp;SubSectionID=A100&amp;drugmatch=4466" xr:uid="{51AC9C07-0E59-49AB-8D82-6C0711FA747E}"/>
    <hyperlink ref="I96" r:id="rId25" display="https://www.icnorthamptonshire.org.uk/download/guidelines-for-clinical-management-of-infant-feeding-di.pdf?ver=65663" xr:uid="{0DA22917-8EFB-4460-971A-A85D5CF4B85F}"/>
    <hyperlink ref="I135" r:id="rId26" display="https://www.wyicsapc.co.uk/wp-content/uploads/2024/02/FINAL-Prescribing-Specialist-Infant-Formula-in-Primary-Care-approved-WY-ICS-APC-Jan-2024-v1.0.docx.pdf" xr:uid="{48254D1A-E2B9-495C-841D-F7FB8332E169}"/>
    <hyperlink ref="I134" r:id="rId27" display="https://www.wyicsapc.co.uk/wp-content/uploads/2024/02/FINAL-Prescribing-Specialist-Infant-Formula-in-Primary-Care-approved-WY-ICS-APC-Jan-2024-v1.0.docx.pdf" xr:uid="{F623DACF-4545-47E3-B5B9-7A438B1E4CD4}"/>
    <hyperlink ref="I133" r:id="rId28" display="https://www.wyicsapc.co.uk/wp-content/uploads/2024/02/FINAL-Prescribing-Specialist-Infant-Formula-in-Primary-Care-approved-WY-ICS-APC-Jan-2024-v1.0.docx.pdf" xr:uid="{03068359-3762-4BBE-B8CC-F1EA0E57BB4D}"/>
    <hyperlink ref="I132" r:id="rId29" display="https://www.wyicsapc.co.uk/wp-content/uploads/2024/02/FINAL-Prescribing-Specialist-Infant-Formula-in-Primary-Care-approved-WY-ICS-APC-Jan-2024-v1.0.docx.pdf" xr:uid="{30D0397A-D5EB-43F2-8CC8-5388B95A885E}"/>
    <hyperlink ref="I4" r:id="rId30" xr:uid="{63D5FAB7-33F7-47CC-BBEB-3F06DDFC763E}"/>
    <hyperlink ref="I53" r:id="rId31" display="https://maternityresourcehub.com/our-priorities/prevention/infant-feeding/?UNLID=4976692622025619134128" xr:uid="{7D4C9013-688B-4C74-80AF-C758C917737E}"/>
    <hyperlink ref="I54:I60" r:id="rId32" display="https://maternityresourcehub.com/our-priorities/prevention/infant-feeding/?UNLID=4976692622025619134128" xr:uid="{F2843D6B-CF52-4F72-AFC6-30DBE6F63CA1}"/>
    <hyperlink ref="I13" r:id="rId33" display="https://www.cheshireformulary.nhs.uk/docs/files/Diagnosis and Management of Cows Milk Protein Allergy - Feb 2024.pdf" xr:uid="{736E8765-73E9-4226-9C98-20F1C6D661E2}"/>
    <hyperlink ref="I14:I21" r:id="rId34" display="https://www.cheshireformulary.nhs.uk/docs/files/Diagnosis and Management of Cows Milk Protein Allergy - Feb 2024.pdf" xr:uid="{5909B95F-AF8A-41AC-8E32-29C78EBD975D}"/>
    <hyperlink ref="I92" r:id="rId35" xr:uid="{9E96A15A-F71D-4B02-8617-8AB8FB2B8C1A}"/>
    <hyperlink ref="I10" r:id="rId36" xr:uid="{9BA6EDFE-196B-417E-A3BF-6DC2B870A8D6}"/>
    <hyperlink ref="I106" r:id="rId37" xr:uid="{F8BB6CBF-AE46-4913-BD5A-2E7D82CBBB67}"/>
    <hyperlink ref="I41" r:id="rId38" xr:uid="{A2DB08A0-8AD5-46B1-A37B-A41AB5FFD403}"/>
    <hyperlink ref="I124" r:id="rId39" xr:uid="{6694BEA1-1BC9-40A2-B059-598E35FEF7B0}"/>
    <hyperlink ref="I83" r:id="rId40" location=":~:text=Treatment%20involves%20complete%20exclusion%20of,a%20minimum%20of%202%20weeks)." xr:uid="{29CB435C-5C67-4DC5-BFD9-DED1F5DFCBE7}"/>
    <hyperlink ref="I102" r:id="rId41" display="https://rbcom.sharepoint.com/sites/gbspodc/he/UKMJN/Forms/AllItems.aspx?id=%2Fsites%2Fgbspodc%2Fhe%2FUKMJN%2FSales%2FCCG%20Guideline%20Tracker%2FPDF%20Guidelines%2FNotts%20APC%202022%20cows%2Dmilk%2Dallergy%2Doverarching%2Dguide%2Epdf&amp;parent=%2Fsites%2Fgbspodc%2Fhe%2FUKMJN%2FSales%2FCCG%20Guideline%20Tracker%2FPDF%20Guidelines" xr:uid="{5778C75D-9C3A-4CB1-8D14-C9F0A45C303F}"/>
    <hyperlink ref="I103" r:id="rId42" display="https://rbcom.sharepoint.com/sites/gbspodc/he/UKMJN/Forms/AllItems.aspx?id=%2Fsites%2Fgbspodc%2Fhe%2FUKMJN%2FSales%2FCCG%20Guideline%20Tracker%2FPDF%20Guidelines%2FNotts%20APC%202022%20cows%2Dmilk%2Dallergy%2Doverarching%2Dguide%2Epdf&amp;parent=%2Fsites%2Fgbspodc%2Fhe%2FUKMJN%2FSales%2FCCG%20Guideline%20Tracker%2FPDF%20Guidelines" xr:uid="{FAF152AC-BBAF-4182-9374-36CB73BAF373}"/>
    <hyperlink ref="I66:I69" r:id="rId43" display="https://www.midandsouthessexformulary.nhs.uk/chaptersSubDetails.asp?FormularySectionID=25&amp;SubSectionRef=A2.03&amp;SubSectionID=A100" xr:uid="{8843B2FB-CFFD-4BE1-821D-524DDA937B7A}"/>
    <hyperlink ref="I80" r:id="rId44" xr:uid="{D99ED833-24B6-4F44-8805-E39F51484EB4}"/>
    <hyperlink ref="I8:I9" r:id="rId45" display="https://www.bucksoxonberksw.icb.nhs.uk/media/5028/bob-icb-cows-milk-protein-allergy-cmpa-in-infants.pdf" xr:uid="{AB0E0A76-4C32-4E12-9CA4-E765B4B54A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Sachdeva, Devansh</dc:creator>
  <cp:lastModifiedBy>Sachdeva, Devansh</cp:lastModifiedBy>
  <dcterms:created xsi:type="dcterms:W3CDTF">2026-06-05T16:01:29Z</dcterms:created>
  <dcterms:modified xsi:type="dcterms:W3CDTF">2026-06-07T19:32:03Z</dcterms:modified>
</cp:coreProperties>
</file>